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09807BA6-07F8-447D-B203-C2D889F5EE61}" xr6:coauthVersionLast="47" xr6:coauthVersionMax="47" xr10:uidLastSave="{00000000-0000-0000-0000-000000000000}"/>
  <bookViews>
    <workbookView xWindow="-120" yWindow="-120" windowWidth="20730" windowHeight="1104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1" i="7" l="1"/>
  <c r="C59" i="7"/>
  <c r="C81" i="5"/>
  <c r="C59" i="5"/>
  <c r="C72" i="7" l="1"/>
  <c r="C82" i="5"/>
  <c r="G336" i="1"/>
  <c r="H325" i="1"/>
  <c r="H327" i="1" s="1"/>
  <c r="G325" i="1"/>
  <c r="G327" i="1" s="1"/>
  <c r="J363" i="1"/>
  <c r="I363" i="1"/>
  <c r="G328" i="1" l="1"/>
  <c r="G337" i="1" s="1"/>
  <c r="I356" i="1"/>
  <c r="I358" i="1" s="1"/>
  <c r="I364" i="1" s="1"/>
  <c r="J356" i="1" l="1"/>
  <c r="J358" i="1" s="1"/>
  <c r="J364" i="1" s="1"/>
</calcChain>
</file>

<file path=xl/sharedStrings.xml><?xml version="1.0" encoding="utf-8"?>
<sst xmlns="http://schemas.openxmlformats.org/spreadsheetml/2006/main" count="776" uniqueCount="331">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</sst>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2" fontId="0" fillId="0" borderId="0" xfId="1" applyNumberFormat="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64"/>
  <sheetViews>
    <sheetView tabSelected="1" workbookViewId="0">
      <pane ySplit="1" topLeftCell="A314" activePane="bottomLeft" state="frozen"/>
      <selection pane="bottomLeft" activeCell="C322" sqref="C322"/>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14">
        <v>5</v>
      </c>
    </row>
    <row r="310" spans="1:8" ht="30" x14ac:dyDescent="0.25">
      <c r="A310" s="5"/>
      <c r="C310" s="9"/>
      <c r="D310" s="13" t="s">
        <v>319</v>
      </c>
      <c r="E310" s="2">
        <v>0.39583333333333331</v>
      </c>
      <c r="F310" s="2">
        <v>0.56944444444444442</v>
      </c>
      <c r="H310" s="14">
        <v>3</v>
      </c>
    </row>
    <row r="311" spans="1:8" x14ac:dyDescent="0.25">
      <c r="A311" s="5"/>
      <c r="C311" s="9">
        <v>46074</v>
      </c>
      <c r="D311" s="13" t="s">
        <v>321</v>
      </c>
      <c r="E311" s="2">
        <v>0.375</v>
      </c>
      <c r="F311" s="2">
        <v>0.46527777777777779</v>
      </c>
      <c r="H311" s="14">
        <v>3</v>
      </c>
    </row>
    <row r="312" spans="1:8" x14ac:dyDescent="0.25">
      <c r="A312" s="5"/>
      <c r="C312" s="9">
        <v>46074</v>
      </c>
      <c r="D312" s="13" t="s">
        <v>318</v>
      </c>
      <c r="E312" s="2">
        <v>0.47222222222222221</v>
      </c>
      <c r="F312" s="2">
        <v>0.55694444444444446</v>
      </c>
      <c r="H312" s="14">
        <v>2</v>
      </c>
    </row>
    <row r="313" spans="1:8" ht="30" x14ac:dyDescent="0.25">
      <c r="A313" s="5"/>
      <c r="C313" s="9">
        <v>46074</v>
      </c>
      <c r="D313" s="13" t="s">
        <v>320</v>
      </c>
      <c r="E313" s="2">
        <v>0.58333333333333337</v>
      </c>
      <c r="F313" s="2">
        <v>0.71875</v>
      </c>
      <c r="H313" s="14">
        <v>3</v>
      </c>
    </row>
    <row r="314" spans="1:8" ht="30" x14ac:dyDescent="0.25">
      <c r="A314" s="5"/>
      <c r="C314" s="9">
        <v>46074</v>
      </c>
      <c r="D314" s="13" t="s">
        <v>322</v>
      </c>
      <c r="E314" s="2">
        <v>0.75</v>
      </c>
      <c r="F314" s="2">
        <v>0.83333333333333337</v>
      </c>
      <c r="H314" s="14">
        <v>2</v>
      </c>
    </row>
    <row r="315" spans="1:8" x14ac:dyDescent="0.25">
      <c r="A315" s="5"/>
      <c r="C315" s="9">
        <v>46074</v>
      </c>
      <c r="D315" s="13" t="s">
        <v>323</v>
      </c>
      <c r="E315" s="2">
        <v>0.83333333333333337</v>
      </c>
      <c r="F315" s="2">
        <v>0.85416666666666663</v>
      </c>
      <c r="H315" s="14">
        <v>0.5</v>
      </c>
    </row>
    <row r="316" spans="1:8" x14ac:dyDescent="0.25">
      <c r="A316" s="5"/>
      <c r="C316" s="9">
        <v>46074</v>
      </c>
      <c r="D316" s="13" t="s">
        <v>324</v>
      </c>
      <c r="E316" s="2">
        <v>0.85416666666666663</v>
      </c>
      <c r="F316" s="2">
        <v>0.875</v>
      </c>
      <c r="H316" s="14">
        <v>0.5</v>
      </c>
    </row>
    <row r="317" spans="1:8" x14ac:dyDescent="0.25">
      <c r="A317" s="5"/>
      <c r="C317" s="9">
        <v>46074</v>
      </c>
      <c r="D317" s="13" t="s">
        <v>325</v>
      </c>
      <c r="E317" s="2">
        <v>0.875</v>
      </c>
      <c r="F317" s="2">
        <v>0.8979166666666667</v>
      </c>
      <c r="H317" s="14">
        <v>0.5</v>
      </c>
    </row>
    <row r="318" spans="1:8" x14ac:dyDescent="0.25">
      <c r="A318" s="5"/>
      <c r="C318" s="9">
        <v>46076</v>
      </c>
      <c r="D318" s="13" t="s">
        <v>326</v>
      </c>
      <c r="E318" s="2">
        <v>0.8979166666666667</v>
      </c>
      <c r="F318" s="2">
        <v>0.9555555555555556</v>
      </c>
      <c r="H318" s="14">
        <v>1.5</v>
      </c>
    </row>
    <row r="319" spans="1:8" ht="30" x14ac:dyDescent="0.25">
      <c r="A319" s="5"/>
      <c r="C319" s="9">
        <v>46076</v>
      </c>
      <c r="D319" s="13" t="s">
        <v>327</v>
      </c>
      <c r="E319" s="2">
        <v>0.375</v>
      </c>
      <c r="F319" s="2">
        <v>0.46180555555555558</v>
      </c>
      <c r="H319" s="14">
        <v>2</v>
      </c>
    </row>
    <row r="320" spans="1:8" x14ac:dyDescent="0.25">
      <c r="A320" s="5"/>
      <c r="C320" s="9">
        <v>46076</v>
      </c>
      <c r="D320" s="13" t="s">
        <v>328</v>
      </c>
      <c r="E320" s="2">
        <v>0.5</v>
      </c>
      <c r="F320" s="2">
        <v>0.58680555555555558</v>
      </c>
      <c r="H320" s="14">
        <v>2</v>
      </c>
    </row>
    <row r="321" spans="1:10" x14ac:dyDescent="0.25">
      <c r="A321" s="5"/>
      <c r="C321" s="61">
        <v>46078</v>
      </c>
      <c r="D321" s="13" t="s">
        <v>330</v>
      </c>
      <c r="E321" s="2">
        <v>0.25</v>
      </c>
      <c r="F321" s="2">
        <v>0.3125</v>
      </c>
      <c r="H321" s="14">
        <v>1.5</v>
      </c>
    </row>
    <row r="322" spans="1:10" x14ac:dyDescent="0.25">
      <c r="A322" s="5"/>
      <c r="C322" s="61"/>
      <c r="D322" s="13"/>
      <c r="E322" s="2"/>
      <c r="F322" s="2"/>
    </row>
    <row r="323" spans="1:10" x14ac:dyDescent="0.25">
      <c r="A323" s="5"/>
      <c r="C323" s="61"/>
      <c r="D323" s="13"/>
      <c r="E323" s="2"/>
      <c r="F323" s="2"/>
    </row>
    <row r="324" spans="1:10" x14ac:dyDescent="0.25">
      <c r="A324" s="5"/>
      <c r="E324" s="2"/>
      <c r="F324" s="2"/>
    </row>
    <row r="325" spans="1:10" x14ac:dyDescent="0.25">
      <c r="A325" s="83" t="s">
        <v>83</v>
      </c>
      <c r="B325" s="83"/>
      <c r="C325" s="83"/>
      <c r="D325" s="83"/>
      <c r="E325" s="83"/>
      <c r="F325" s="83"/>
      <c r="G325" s="16">
        <f>SUM(G2:G324)</f>
        <v>314.78999999999996</v>
      </c>
      <c r="H325" s="16">
        <f>SUM(H2:H324)</f>
        <v>160.30000000000001</v>
      </c>
    </row>
    <row r="326" spans="1:10" x14ac:dyDescent="0.25">
      <c r="A326" s="83" t="s">
        <v>57</v>
      </c>
      <c r="B326" s="83"/>
      <c r="C326" s="83"/>
      <c r="D326" s="83"/>
      <c r="E326" s="83"/>
      <c r="F326" s="83"/>
      <c r="G326" s="16">
        <v>200</v>
      </c>
      <c r="H326" s="16">
        <v>300</v>
      </c>
    </row>
    <row r="327" spans="1:10" x14ac:dyDescent="0.25">
      <c r="A327" s="83" t="s">
        <v>84</v>
      </c>
      <c r="B327" s="83"/>
      <c r="C327" s="83"/>
      <c r="D327" s="83"/>
      <c r="E327" s="83"/>
      <c r="F327" s="83"/>
      <c r="G327" s="17">
        <f>G326*G325</f>
        <v>62957.999999999993</v>
      </c>
      <c r="H327" s="18">
        <f>H326*H325</f>
        <v>48090</v>
      </c>
      <c r="J327">
        <v>-500</v>
      </c>
    </row>
    <row r="328" spans="1:10" ht="28.5" x14ac:dyDescent="0.45">
      <c r="A328" s="83" t="s">
        <v>58</v>
      </c>
      <c r="B328" s="83"/>
      <c r="C328" s="83"/>
      <c r="D328" s="83"/>
      <c r="E328" s="83"/>
      <c r="F328" s="83"/>
      <c r="G328" s="71">
        <f>G327+H327</f>
        <v>111048</v>
      </c>
      <c r="H328" s="71"/>
    </row>
    <row r="329" spans="1:10" x14ac:dyDescent="0.25">
      <c r="A329" s="10"/>
      <c r="B329" s="74" t="s">
        <v>60</v>
      </c>
      <c r="C329" s="74"/>
      <c r="D329" s="74"/>
      <c r="E329" s="74"/>
      <c r="F329" s="74"/>
      <c r="G329" s="21"/>
    </row>
    <row r="330" spans="1:10" x14ac:dyDescent="0.25">
      <c r="A330" s="11">
        <v>45109</v>
      </c>
      <c r="B330" s="75" t="s">
        <v>59</v>
      </c>
      <c r="C330" s="75"/>
      <c r="D330" s="75"/>
      <c r="E330" s="75"/>
      <c r="F330" s="75"/>
      <c r="G330" s="77">
        <v>10000</v>
      </c>
      <c r="H330" s="77"/>
    </row>
    <row r="331" spans="1:10" x14ac:dyDescent="0.25">
      <c r="A331" s="11"/>
      <c r="B331" s="79" t="s">
        <v>96</v>
      </c>
      <c r="C331" s="79"/>
      <c r="D331" s="79"/>
      <c r="E331" s="79"/>
      <c r="F331" s="79"/>
      <c r="G331" s="77">
        <v>5000</v>
      </c>
      <c r="H331" s="77"/>
    </row>
    <row r="332" spans="1:10" x14ac:dyDescent="0.25">
      <c r="A332" s="11">
        <v>45278</v>
      </c>
      <c r="B332" s="76" t="s">
        <v>96</v>
      </c>
      <c r="C332" s="76"/>
      <c r="D332" s="76"/>
      <c r="E332" s="76"/>
      <c r="F332" s="76"/>
      <c r="G332" s="77">
        <v>9800</v>
      </c>
      <c r="H332" s="77"/>
    </row>
    <row r="333" spans="1:10" x14ac:dyDescent="0.25">
      <c r="A333" s="11"/>
      <c r="B333" s="76"/>
      <c r="C333" s="76"/>
      <c r="D333" s="76"/>
      <c r="E333" s="76"/>
      <c r="F333" s="76"/>
      <c r="G333" s="78"/>
      <c r="H333" s="78"/>
    </row>
    <row r="334" spans="1:10" x14ac:dyDescent="0.25">
      <c r="A334" s="11"/>
      <c r="B334" s="76"/>
      <c r="C334" s="76"/>
      <c r="D334" s="76"/>
      <c r="E334" s="76"/>
      <c r="F334" s="76"/>
      <c r="G334" s="78"/>
      <c r="H334" s="78"/>
    </row>
    <row r="335" spans="1:10" x14ac:dyDescent="0.25">
      <c r="A335" s="11"/>
      <c r="B335" s="76"/>
      <c r="C335" s="76"/>
      <c r="D335" s="76"/>
      <c r="E335" s="76"/>
      <c r="F335" s="76"/>
      <c r="G335" s="78"/>
      <c r="H335" s="78"/>
    </row>
    <row r="336" spans="1:10" x14ac:dyDescent="0.25">
      <c r="A336" s="11"/>
      <c r="B336" s="76" t="s">
        <v>62</v>
      </c>
      <c r="C336" s="76"/>
      <c r="D336" s="76"/>
      <c r="E336" s="76"/>
      <c r="F336" s="76"/>
      <c r="G336" s="77">
        <f>SUM(G330:H335)</f>
        <v>24800</v>
      </c>
      <c r="H336" s="77"/>
    </row>
    <row r="337" spans="1:8" ht="31.5" x14ac:dyDescent="0.5">
      <c r="A337" s="72" t="s">
        <v>61</v>
      </c>
      <c r="B337" s="72"/>
      <c r="C337" s="72"/>
      <c r="D337" s="72"/>
      <c r="E337" s="72"/>
      <c r="F337" s="72"/>
      <c r="G337" s="73">
        <f>G328-G336</f>
        <v>86248</v>
      </c>
      <c r="H337" s="73"/>
    </row>
    <row r="338" spans="1:8" x14ac:dyDescent="0.25">
      <c r="A338" s="11"/>
      <c r="B338" s="12"/>
      <c r="C338" s="12"/>
      <c r="D338" s="12"/>
      <c r="E338" s="12"/>
      <c r="F338" s="12"/>
    </row>
    <row r="339" spans="1:8" x14ac:dyDescent="0.25">
      <c r="A339" s="11"/>
      <c r="B339" s="12"/>
      <c r="C339" s="12"/>
      <c r="D339" s="12"/>
      <c r="E339" s="12"/>
      <c r="F339" s="12"/>
    </row>
    <row r="340" spans="1:8" x14ac:dyDescent="0.25">
      <c r="A340" s="11"/>
      <c r="B340" s="12"/>
      <c r="C340" s="12"/>
      <c r="D340" s="12"/>
      <c r="E340" s="12"/>
      <c r="F340" s="12"/>
    </row>
    <row r="341" spans="1:8" x14ac:dyDescent="0.25">
      <c r="A341" s="11"/>
      <c r="B341" s="12"/>
      <c r="C341" s="12"/>
      <c r="D341" s="12"/>
      <c r="E341" s="12"/>
      <c r="F341" s="12"/>
    </row>
    <row r="342" spans="1:8" x14ac:dyDescent="0.25">
      <c r="A342" s="11"/>
      <c r="B342" s="12"/>
      <c r="C342" s="12"/>
      <c r="D342" s="12"/>
      <c r="E342" s="12"/>
      <c r="F342" s="12"/>
    </row>
    <row r="343" spans="1:8" x14ac:dyDescent="0.25">
      <c r="A343" s="11"/>
      <c r="B343" s="12"/>
      <c r="C343" s="12"/>
      <c r="D343" s="12"/>
      <c r="E343" s="12"/>
      <c r="F343" s="12"/>
    </row>
    <row r="344" spans="1:8" x14ac:dyDescent="0.25">
      <c r="A344" s="11"/>
      <c r="B344" s="12"/>
      <c r="C344" s="12"/>
      <c r="D344" s="12"/>
      <c r="E344" s="12"/>
      <c r="F344" s="12"/>
    </row>
    <row r="345" spans="1:8" x14ac:dyDescent="0.25">
      <c r="A345" s="11"/>
      <c r="B345" s="12"/>
      <c r="C345" s="12"/>
      <c r="D345" s="12"/>
      <c r="E345" s="12"/>
      <c r="F345" s="12"/>
    </row>
    <row r="346" spans="1:8" x14ac:dyDescent="0.25">
      <c r="A346" s="11"/>
      <c r="B346" s="12"/>
      <c r="C346" s="12"/>
      <c r="D346" s="12"/>
      <c r="E346" s="12"/>
      <c r="F346" s="12"/>
    </row>
    <row r="347" spans="1:8" x14ac:dyDescent="0.25">
      <c r="A347" s="11"/>
      <c r="B347" s="12"/>
      <c r="C347" s="12"/>
      <c r="D347" s="12"/>
      <c r="E347" s="12"/>
      <c r="F347" s="12"/>
    </row>
    <row r="348" spans="1:8" x14ac:dyDescent="0.25">
      <c r="A348" s="11"/>
      <c r="B348" s="12"/>
      <c r="C348" s="12"/>
      <c r="D348" s="12"/>
      <c r="E348" s="12"/>
      <c r="F348" s="12"/>
    </row>
    <row r="349" spans="1:8" x14ac:dyDescent="0.25">
      <c r="A349" s="11"/>
      <c r="B349" s="12"/>
      <c r="C349" s="12"/>
      <c r="D349" s="12"/>
      <c r="E349" s="12"/>
      <c r="F349" s="12"/>
    </row>
    <row r="350" spans="1:8" x14ac:dyDescent="0.25">
      <c r="A350" s="11"/>
      <c r="B350" s="12"/>
      <c r="C350" s="12"/>
      <c r="D350" s="12"/>
      <c r="E350" s="12"/>
      <c r="F350" s="12"/>
    </row>
    <row r="351" spans="1:8" x14ac:dyDescent="0.25">
      <c r="A351" s="11"/>
      <c r="B351" s="12"/>
      <c r="C351" s="12"/>
      <c r="D351" s="12"/>
      <c r="E351" s="12"/>
      <c r="F351" s="12"/>
    </row>
    <row r="352" spans="1:8" x14ac:dyDescent="0.25">
      <c r="A352" s="11"/>
      <c r="B352" s="12"/>
      <c r="C352" s="12"/>
      <c r="D352" s="12"/>
      <c r="E352" s="12"/>
      <c r="F352" s="12"/>
    </row>
    <row r="353" spans="1:10" x14ac:dyDescent="0.25">
      <c r="A353" s="11"/>
      <c r="B353" s="12"/>
      <c r="C353" s="12"/>
      <c r="D353" s="12"/>
      <c r="E353" s="12"/>
      <c r="F353" s="12"/>
    </row>
    <row r="354" spans="1:10" x14ac:dyDescent="0.25">
      <c r="A354" s="11"/>
      <c r="B354" s="12"/>
      <c r="C354" s="12"/>
      <c r="D354" s="12"/>
      <c r="E354" s="12"/>
      <c r="F354" s="12"/>
    </row>
    <row r="355" spans="1:10" x14ac:dyDescent="0.25">
      <c r="A355" s="11"/>
      <c r="B355" s="12"/>
      <c r="C355" s="12"/>
      <c r="D355" s="12"/>
      <c r="E355" s="12"/>
      <c r="F355" s="12"/>
    </row>
    <row r="356" spans="1:10" x14ac:dyDescent="0.25">
      <c r="A356" s="9"/>
      <c r="B356" s="84" t="s">
        <v>56</v>
      </c>
      <c r="C356" s="84"/>
      <c r="D356" s="84"/>
      <c r="E356" s="84"/>
      <c r="F356" s="84"/>
      <c r="G356" s="20"/>
      <c r="H356" s="20"/>
      <c r="I356" s="7">
        <f>G325+H325</f>
        <v>475.09</v>
      </c>
      <c r="J356" s="7">
        <f>I356</f>
        <v>475.09</v>
      </c>
    </row>
    <row r="357" spans="1:10" x14ac:dyDescent="0.25">
      <c r="A357" s="5"/>
      <c r="B357" s="85" t="s">
        <v>57</v>
      </c>
      <c r="C357" s="85"/>
      <c r="D357" s="85"/>
      <c r="E357" s="85"/>
      <c r="F357" s="85"/>
      <c r="I357" s="7">
        <v>300</v>
      </c>
      <c r="J357" s="7">
        <v>200</v>
      </c>
    </row>
    <row r="358" spans="1:10" ht="18.75" x14ac:dyDescent="0.3">
      <c r="A358" s="5"/>
      <c r="B358" s="85" t="s">
        <v>58</v>
      </c>
      <c r="C358" s="85"/>
      <c r="D358" s="85"/>
      <c r="E358" s="85"/>
      <c r="F358" s="85"/>
      <c r="I358" s="8">
        <f>I357*I356</f>
        <v>142527</v>
      </c>
      <c r="J358" s="8">
        <f>J357*J356</f>
        <v>95018</v>
      </c>
    </row>
    <row r="359" spans="1:10" x14ac:dyDescent="0.25">
      <c r="A359" s="22"/>
      <c r="B359" s="86" t="s">
        <v>60</v>
      </c>
      <c r="C359" s="86"/>
      <c r="D359" s="86"/>
      <c r="E359" s="86"/>
      <c r="F359" s="86"/>
      <c r="G359" s="23"/>
      <c r="H359" s="23"/>
      <c r="I359" s="24"/>
      <c r="J359" s="24"/>
    </row>
    <row r="360" spans="1:10" x14ac:dyDescent="0.25">
      <c r="A360" s="25">
        <v>45109</v>
      </c>
      <c r="B360" s="81" t="s">
        <v>59</v>
      </c>
      <c r="C360" s="81"/>
      <c r="D360" s="81"/>
      <c r="E360" s="81"/>
      <c r="F360" s="81"/>
      <c r="G360" s="26"/>
      <c r="H360" s="26"/>
      <c r="I360" s="27">
        <v>10000</v>
      </c>
      <c r="J360" s="27">
        <v>10000</v>
      </c>
    </row>
    <row r="361" spans="1:10" x14ac:dyDescent="0.25">
      <c r="A361" s="25"/>
      <c r="B361" s="28"/>
      <c r="C361" s="28"/>
      <c r="D361" s="28"/>
      <c r="E361" s="28"/>
      <c r="F361" s="28"/>
      <c r="G361" s="26"/>
      <c r="H361" s="26"/>
      <c r="I361" s="29"/>
      <c r="J361" s="29"/>
    </row>
    <row r="362" spans="1:10" x14ac:dyDescent="0.25">
      <c r="A362" s="25"/>
      <c r="B362" s="28"/>
      <c r="C362" s="28"/>
      <c r="D362" s="28"/>
      <c r="E362" s="28"/>
      <c r="F362" s="28"/>
      <c r="G362" s="26"/>
      <c r="H362" s="26"/>
      <c r="I362" s="29"/>
      <c r="J362" s="29"/>
    </row>
    <row r="363" spans="1:10" ht="28.5" x14ac:dyDescent="0.45">
      <c r="A363" s="25"/>
      <c r="B363" s="82" t="s">
        <v>62</v>
      </c>
      <c r="C363" s="82"/>
      <c r="D363" s="82"/>
      <c r="E363" s="82"/>
      <c r="F363" s="82"/>
      <c r="G363" s="26"/>
      <c r="H363" s="26"/>
      <c r="I363" s="30">
        <f>SUM(I360:I362)</f>
        <v>10000</v>
      </c>
      <c r="J363" s="30">
        <f>SUM(J360:J362)</f>
        <v>10000</v>
      </c>
    </row>
    <row r="364" spans="1:10" ht="33.75" x14ac:dyDescent="0.5">
      <c r="A364" s="31">
        <v>45109</v>
      </c>
      <c r="B364" s="80" t="s">
        <v>61</v>
      </c>
      <c r="C364" s="80"/>
      <c r="D364" s="80"/>
      <c r="E364" s="80"/>
      <c r="F364" s="80"/>
      <c r="G364" s="32"/>
      <c r="H364" s="32"/>
      <c r="I364" s="33">
        <f>I358-I363</f>
        <v>132527</v>
      </c>
      <c r="J364" s="33">
        <f>J358-J363</f>
        <v>85018</v>
      </c>
    </row>
  </sheetData>
  <mergeCells count="29">
    <mergeCell ref="B364:F364"/>
    <mergeCell ref="B360:F360"/>
    <mergeCell ref="B363:F363"/>
    <mergeCell ref="A326:F326"/>
    <mergeCell ref="A325:F325"/>
    <mergeCell ref="A327:F327"/>
    <mergeCell ref="A328:F328"/>
    <mergeCell ref="B334:F334"/>
    <mergeCell ref="B335:F335"/>
    <mergeCell ref="B356:F356"/>
    <mergeCell ref="B357:F357"/>
    <mergeCell ref="B358:F358"/>
    <mergeCell ref="B359:F359"/>
    <mergeCell ref="G328:H328"/>
    <mergeCell ref="A337:F337"/>
    <mergeCell ref="G337:H337"/>
    <mergeCell ref="B329:F329"/>
    <mergeCell ref="B330:F330"/>
    <mergeCell ref="B336:F336"/>
    <mergeCell ref="G330:H330"/>
    <mergeCell ref="G331:H331"/>
    <mergeCell ref="G336:H336"/>
    <mergeCell ref="G333:H333"/>
    <mergeCell ref="G334:H334"/>
    <mergeCell ref="G335:H335"/>
    <mergeCell ref="G332:H332"/>
    <mergeCell ref="B332:F332"/>
    <mergeCell ref="B331:F331"/>
    <mergeCell ref="B333:F333"/>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B58" sqref="B58"/>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82"/>
  <sheetViews>
    <sheetView topLeftCell="A57" workbookViewId="0">
      <selection activeCell="G53" sqref="G53"/>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s="42" customFormat="1" x14ac:dyDescent="0.25">
      <c r="A58" s="51"/>
      <c r="B58" s="52"/>
      <c r="C58" s="53"/>
    </row>
    <row r="59" spans="1:3" x14ac:dyDescent="0.25">
      <c r="A59" s="43"/>
      <c r="B59" s="43" t="s">
        <v>247</v>
      </c>
      <c r="C59" s="46">
        <f>SUM(C2:C58)</f>
        <v>32900</v>
      </c>
    </row>
    <row r="60" spans="1:3" hidden="1" x14ac:dyDescent="0.25">
      <c r="B60" t="s">
        <v>38</v>
      </c>
    </row>
    <row r="61" spans="1:3" hidden="1" x14ac:dyDescent="0.25">
      <c r="A61" s="55">
        <v>45690</v>
      </c>
      <c r="B61" s="48" t="s">
        <v>38</v>
      </c>
      <c r="C61" s="54">
        <v>2300</v>
      </c>
    </row>
    <row r="62" spans="1:3" hidden="1" x14ac:dyDescent="0.25">
      <c r="A62" s="55"/>
      <c r="B62" s="48" t="s">
        <v>38</v>
      </c>
      <c r="C62" s="54">
        <v>2250</v>
      </c>
    </row>
    <row r="63" spans="1:3" hidden="1" x14ac:dyDescent="0.25">
      <c r="A63" s="55">
        <v>45804</v>
      </c>
      <c r="B63" s="48" t="s">
        <v>278</v>
      </c>
      <c r="C63" s="54">
        <v>2700</v>
      </c>
    </row>
    <row r="64" spans="1:3" hidden="1" x14ac:dyDescent="0.25">
      <c r="A64" s="55">
        <v>45839</v>
      </c>
      <c r="B64" s="48" t="s">
        <v>278</v>
      </c>
      <c r="C64" s="54">
        <v>4200</v>
      </c>
    </row>
    <row r="65" spans="1:3" hidden="1" x14ac:dyDescent="0.25">
      <c r="A65" s="55"/>
      <c r="B65" s="48"/>
      <c r="C65" s="54">
        <v>4500</v>
      </c>
    </row>
    <row r="66" spans="1:3" x14ac:dyDescent="0.25">
      <c r="A66" s="55">
        <v>46266</v>
      </c>
      <c r="B66" s="48" t="s">
        <v>249</v>
      </c>
      <c r="C66" s="54">
        <v>2100</v>
      </c>
    </row>
    <row r="67" spans="1:3" x14ac:dyDescent="0.25">
      <c r="A67" s="55"/>
      <c r="B67" s="48" t="s">
        <v>249</v>
      </c>
      <c r="C67" s="54">
        <v>2550</v>
      </c>
    </row>
    <row r="68" spans="1:3" x14ac:dyDescent="0.25">
      <c r="A68" s="55">
        <v>46073</v>
      </c>
      <c r="B68" s="48" t="s">
        <v>249</v>
      </c>
      <c r="C68" s="54">
        <v>4800</v>
      </c>
    </row>
    <row r="69" spans="1:3" x14ac:dyDescent="0.25">
      <c r="A69" s="55"/>
      <c r="B69" s="48"/>
      <c r="C69" s="54"/>
    </row>
    <row r="70" spans="1:3" x14ac:dyDescent="0.25">
      <c r="A70" s="48"/>
      <c r="B70" s="48"/>
      <c r="C70" s="54"/>
    </row>
    <row r="71" spans="1:3" x14ac:dyDescent="0.25">
      <c r="A71" s="43"/>
      <c r="B71" s="43" t="s">
        <v>252</v>
      </c>
      <c r="C71" s="46">
        <f>SUM(C60:C70)</f>
        <v>25400</v>
      </c>
    </row>
    <row r="72" spans="1:3" x14ac:dyDescent="0.25">
      <c r="A72" s="6"/>
      <c r="B72" s="6" t="s">
        <v>253</v>
      </c>
      <c r="C72" s="47">
        <f>C59-C71</f>
        <v>7500</v>
      </c>
    </row>
    <row r="76" spans="1:3" ht="45" x14ac:dyDescent="0.25">
      <c r="B76" s="13" t="s">
        <v>311</v>
      </c>
    </row>
    <row r="77" spans="1:3" x14ac:dyDescent="0.25">
      <c r="B77" s="13" t="s">
        <v>312</v>
      </c>
    </row>
    <row r="78" spans="1:3" ht="45" x14ac:dyDescent="0.25">
      <c r="B78" s="13" t="s">
        <v>313</v>
      </c>
    </row>
    <row r="79" spans="1:3" ht="30" x14ac:dyDescent="0.25">
      <c r="B79" s="13" t="s">
        <v>314</v>
      </c>
    </row>
    <row r="80" spans="1:3" ht="30" x14ac:dyDescent="0.25">
      <c r="B80" s="13" t="s">
        <v>316</v>
      </c>
    </row>
    <row r="81" spans="2:2" ht="30" x14ac:dyDescent="0.25">
      <c r="B81" s="13" t="s">
        <v>315</v>
      </c>
    </row>
    <row r="82" spans="2:2" ht="30" x14ac:dyDescent="0.25">
      <c r="B82" s="13" t="s">
        <v>317</v>
      </c>
    </row>
  </sheetData>
  <mergeCells count="12">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2026-02-26T22:13:36Z</dcterms:modified>
</cp:coreProperties>
</file>