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70FD7B7D-1A0A-44A7-8392-AD4F8BF9BD01}" xr6:coauthVersionLast="47" xr6:coauthVersionMax="47" xr10:uidLastSave="{00000000-0000-0000-0000-000000000000}"/>
  <bookViews>
    <workbookView xWindow="-120" yWindow="-120" windowWidth="20730" windowHeight="1104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9" i="7" l="1"/>
  <c r="C40" i="7"/>
  <c r="C81" i="5"/>
  <c r="C59" i="5"/>
  <c r="C50" i="7" l="1"/>
  <c r="C82" i="5"/>
  <c r="G322" i="1"/>
  <c r="H311" i="1"/>
  <c r="H313" i="1" s="1"/>
  <c r="G311" i="1"/>
  <c r="G313" i="1" s="1"/>
  <c r="J349" i="1"/>
  <c r="I349" i="1"/>
  <c r="G314" i="1" l="1"/>
  <c r="G323" i="1" s="1"/>
  <c r="I342" i="1"/>
  <c r="I344" i="1" s="1"/>
  <c r="I350" i="1" s="1"/>
  <c r="J342" i="1" l="1"/>
  <c r="J344" i="1" s="1"/>
  <c r="J350" i="1" s="1"/>
</calcChain>
</file>

<file path=xl/sharedStrings.xml><?xml version="1.0" encoding="utf-8"?>
<sst xmlns="http://schemas.openxmlformats.org/spreadsheetml/2006/main" count="739" uniqueCount="315">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</sst>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50"/>
  <sheetViews>
    <sheetView tabSelected="1" workbookViewId="0">
      <pane ySplit="1" topLeftCell="A298" activePane="bottomLeft" state="frozen"/>
      <selection pane="bottomLeft" activeCell="F306" sqref="F306"/>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14">
        <v>2</v>
      </c>
    </row>
    <row r="297" spans="1:8" x14ac:dyDescent="0.25">
      <c r="A297" s="5"/>
      <c r="C297" s="9">
        <v>46052</v>
      </c>
      <c r="D297" s="13" t="s">
        <v>306</v>
      </c>
      <c r="E297" s="2">
        <v>0.50694444444444442</v>
      </c>
      <c r="F297" s="2">
        <v>0.55208333333333337</v>
      </c>
      <c r="H297" s="14">
        <v>1</v>
      </c>
    </row>
    <row r="298" spans="1:8" x14ac:dyDescent="0.25">
      <c r="A298" s="5"/>
      <c r="C298" s="9">
        <v>46052</v>
      </c>
      <c r="D298" s="13" t="s">
        <v>306</v>
      </c>
      <c r="E298" s="2">
        <v>0.65416666666666667</v>
      </c>
      <c r="F298" s="2">
        <v>0.70138888888888884</v>
      </c>
      <c r="H298" s="14">
        <v>1</v>
      </c>
    </row>
    <row r="299" spans="1:8" x14ac:dyDescent="0.25">
      <c r="A299" s="5"/>
      <c r="C299" s="9">
        <v>46061</v>
      </c>
      <c r="D299" s="13" t="s">
        <v>307</v>
      </c>
      <c r="E299" s="2">
        <v>0.8125</v>
      </c>
      <c r="F299" s="2">
        <v>0.88263888888888886</v>
      </c>
      <c r="H299" s="14">
        <v>1.5</v>
      </c>
    </row>
    <row r="300" spans="1:8" x14ac:dyDescent="0.25">
      <c r="A300" s="5"/>
      <c r="C300" s="9">
        <v>46061</v>
      </c>
      <c r="D300" s="13" t="s">
        <v>308</v>
      </c>
      <c r="E300" s="2">
        <v>0.9</v>
      </c>
      <c r="F300" s="2">
        <v>0.93611111111111112</v>
      </c>
      <c r="H300" s="14">
        <v>1</v>
      </c>
    </row>
    <row r="301" spans="1:8" x14ac:dyDescent="0.25">
      <c r="A301" s="5"/>
      <c r="C301" s="9">
        <v>46061</v>
      </c>
      <c r="D301" s="13" t="s">
        <v>309</v>
      </c>
      <c r="E301" s="2">
        <v>0.375</v>
      </c>
      <c r="F301" s="2">
        <v>0.47222222222222221</v>
      </c>
      <c r="H301" s="14">
        <v>2</v>
      </c>
    </row>
    <row r="302" spans="1:8" ht="45" x14ac:dyDescent="0.25">
      <c r="A302" s="5"/>
      <c r="C302" s="61">
        <v>46062</v>
      </c>
      <c r="D302" s="13" t="s">
        <v>311</v>
      </c>
      <c r="E302" s="2">
        <v>0.58333333333333337</v>
      </c>
      <c r="F302" s="2">
        <v>0.67361111111111116</v>
      </c>
      <c r="H302" s="14">
        <v>2</v>
      </c>
    </row>
    <row r="303" spans="1:8" x14ac:dyDescent="0.25">
      <c r="A303" s="5"/>
      <c r="C303" s="61">
        <v>46063</v>
      </c>
      <c r="D303" s="13" t="s">
        <v>312</v>
      </c>
      <c r="E303" s="2">
        <v>0.47916666666666669</v>
      </c>
      <c r="F303" s="2">
        <v>0.52430555555555558</v>
      </c>
      <c r="H303" s="14">
        <v>1</v>
      </c>
    </row>
    <row r="304" spans="1:8" ht="45" x14ac:dyDescent="0.25">
      <c r="A304" s="5"/>
      <c r="C304" s="61">
        <v>46063</v>
      </c>
      <c r="D304" s="13" t="s">
        <v>313</v>
      </c>
      <c r="E304" s="2">
        <v>0.54166666666666663</v>
      </c>
      <c r="F304" s="2">
        <v>0.71527777777777779</v>
      </c>
      <c r="H304" s="14">
        <v>4</v>
      </c>
    </row>
    <row r="305" spans="1:10" ht="30" x14ac:dyDescent="0.25">
      <c r="A305" s="5"/>
      <c r="C305" s="61">
        <v>46063</v>
      </c>
      <c r="D305" s="13" t="s">
        <v>314</v>
      </c>
      <c r="E305" s="2">
        <v>0.71527777777777779</v>
      </c>
      <c r="F305" s="2">
        <v>0.84375</v>
      </c>
      <c r="H305" s="14">
        <v>3</v>
      </c>
    </row>
    <row r="306" spans="1:10" x14ac:dyDescent="0.25">
      <c r="A306" s="5"/>
      <c r="C306" s="61"/>
      <c r="D306" s="13"/>
      <c r="E306" s="2"/>
      <c r="F306" s="2"/>
    </row>
    <row r="307" spans="1:10" x14ac:dyDescent="0.25">
      <c r="A307" s="5"/>
      <c r="C307" s="61"/>
      <c r="D307" s="13"/>
      <c r="E307" s="2"/>
      <c r="F307" s="2"/>
    </row>
    <row r="308" spans="1:10" x14ac:dyDescent="0.25">
      <c r="A308" s="5"/>
      <c r="C308" s="61"/>
      <c r="D308" s="13"/>
      <c r="E308" s="2"/>
      <c r="F308" s="2"/>
    </row>
    <row r="309" spans="1:10" x14ac:dyDescent="0.25">
      <c r="A309" s="5"/>
      <c r="C309" s="61"/>
      <c r="D309" s="13"/>
      <c r="E309" s="2"/>
      <c r="F309" s="2"/>
    </row>
    <row r="310" spans="1:10" x14ac:dyDescent="0.25">
      <c r="A310" s="5"/>
      <c r="E310" s="2"/>
      <c r="F310" s="2"/>
    </row>
    <row r="311" spans="1:10" x14ac:dyDescent="0.25">
      <c r="A311" s="74" t="s">
        <v>83</v>
      </c>
      <c r="B311" s="74"/>
      <c r="C311" s="74"/>
      <c r="D311" s="74"/>
      <c r="E311" s="74"/>
      <c r="F311" s="74"/>
      <c r="G311" s="16">
        <f>SUM(G2:G310)</f>
        <v>314.78999999999996</v>
      </c>
      <c r="H311" s="16">
        <f>SUM(H2:H310)</f>
        <v>127.8</v>
      </c>
    </row>
    <row r="312" spans="1:10" x14ac:dyDescent="0.25">
      <c r="A312" s="74" t="s">
        <v>57</v>
      </c>
      <c r="B312" s="74"/>
      <c r="C312" s="74"/>
      <c r="D312" s="74"/>
      <c r="E312" s="74"/>
      <c r="F312" s="74"/>
      <c r="G312" s="16">
        <v>200</v>
      </c>
      <c r="H312" s="16">
        <v>300</v>
      </c>
    </row>
    <row r="313" spans="1:10" x14ac:dyDescent="0.25">
      <c r="A313" s="74" t="s">
        <v>84</v>
      </c>
      <c r="B313" s="74"/>
      <c r="C313" s="74"/>
      <c r="D313" s="74"/>
      <c r="E313" s="74"/>
      <c r="F313" s="74"/>
      <c r="G313" s="17">
        <f>G312*G311</f>
        <v>62957.999999999993</v>
      </c>
      <c r="H313" s="18">
        <f>H312*H311</f>
        <v>38340</v>
      </c>
      <c r="J313">
        <v>-500</v>
      </c>
    </row>
    <row r="314" spans="1:10" ht="28.5" x14ac:dyDescent="0.45">
      <c r="A314" s="74" t="s">
        <v>58</v>
      </c>
      <c r="B314" s="74"/>
      <c r="C314" s="74"/>
      <c r="D314" s="74"/>
      <c r="E314" s="74"/>
      <c r="F314" s="74"/>
      <c r="G314" s="79">
        <f>G313+H313</f>
        <v>101298</v>
      </c>
      <c r="H314" s="79"/>
    </row>
    <row r="315" spans="1:10" x14ac:dyDescent="0.25">
      <c r="A315" s="10"/>
      <c r="B315" s="82" t="s">
        <v>60</v>
      </c>
      <c r="C315" s="82"/>
      <c r="D315" s="82"/>
      <c r="E315" s="82"/>
      <c r="F315" s="82"/>
      <c r="G315" s="21"/>
    </row>
    <row r="316" spans="1:10" x14ac:dyDescent="0.25">
      <c r="A316" s="11">
        <v>45109</v>
      </c>
      <c r="B316" s="83" t="s">
        <v>59</v>
      </c>
      <c r="C316" s="83"/>
      <c r="D316" s="83"/>
      <c r="E316" s="83"/>
      <c r="F316" s="83"/>
      <c r="G316" s="84">
        <v>10000</v>
      </c>
      <c r="H316" s="84"/>
    </row>
    <row r="317" spans="1:10" x14ac:dyDescent="0.25">
      <c r="A317" s="11"/>
      <c r="B317" s="86" t="s">
        <v>96</v>
      </c>
      <c r="C317" s="86"/>
      <c r="D317" s="86"/>
      <c r="E317" s="86"/>
      <c r="F317" s="86"/>
      <c r="G317" s="84">
        <v>5000</v>
      </c>
      <c r="H317" s="84"/>
    </row>
    <row r="318" spans="1:10" x14ac:dyDescent="0.25">
      <c r="A318" s="11">
        <v>45278</v>
      </c>
      <c r="B318" s="75" t="s">
        <v>96</v>
      </c>
      <c r="C318" s="75"/>
      <c r="D318" s="75"/>
      <c r="E318" s="75"/>
      <c r="F318" s="75"/>
      <c r="G318" s="84">
        <v>9800</v>
      </c>
      <c r="H318" s="84"/>
    </row>
    <row r="319" spans="1:10" x14ac:dyDescent="0.25">
      <c r="A319" s="11"/>
      <c r="B319" s="75"/>
      <c r="C319" s="75"/>
      <c r="D319" s="75"/>
      <c r="E319" s="75"/>
      <c r="F319" s="75"/>
      <c r="G319" s="85"/>
      <c r="H319" s="85"/>
    </row>
    <row r="320" spans="1:10" x14ac:dyDescent="0.25">
      <c r="A320" s="11"/>
      <c r="B320" s="75"/>
      <c r="C320" s="75"/>
      <c r="D320" s="75"/>
      <c r="E320" s="75"/>
      <c r="F320" s="75"/>
      <c r="G320" s="85"/>
      <c r="H320" s="85"/>
    </row>
    <row r="321" spans="1:8" x14ac:dyDescent="0.25">
      <c r="A321" s="11"/>
      <c r="B321" s="75"/>
      <c r="C321" s="75"/>
      <c r="D321" s="75"/>
      <c r="E321" s="75"/>
      <c r="F321" s="75"/>
      <c r="G321" s="85"/>
      <c r="H321" s="85"/>
    </row>
    <row r="322" spans="1:8" x14ac:dyDescent="0.25">
      <c r="A322" s="11"/>
      <c r="B322" s="75" t="s">
        <v>62</v>
      </c>
      <c r="C322" s="75"/>
      <c r="D322" s="75"/>
      <c r="E322" s="75"/>
      <c r="F322" s="75"/>
      <c r="G322" s="84">
        <f>SUM(G316:H321)</f>
        <v>24800</v>
      </c>
      <c r="H322" s="84"/>
    </row>
    <row r="323" spans="1:8" ht="31.5" x14ac:dyDescent="0.5">
      <c r="A323" s="80" t="s">
        <v>61</v>
      </c>
      <c r="B323" s="80"/>
      <c r="C323" s="80"/>
      <c r="D323" s="80"/>
      <c r="E323" s="80"/>
      <c r="F323" s="80"/>
      <c r="G323" s="81">
        <f>G314-G322</f>
        <v>76498</v>
      </c>
      <c r="H323" s="81"/>
    </row>
    <row r="324" spans="1:8" x14ac:dyDescent="0.25">
      <c r="A324" s="11"/>
      <c r="B324" s="12"/>
      <c r="C324" s="12"/>
      <c r="D324" s="12"/>
      <c r="E324" s="12"/>
      <c r="F324" s="12"/>
    </row>
    <row r="325" spans="1:8" x14ac:dyDescent="0.25">
      <c r="A325" s="11"/>
      <c r="B325" s="12"/>
      <c r="C325" s="12"/>
      <c r="D325" s="12"/>
      <c r="E325" s="12"/>
      <c r="F325" s="12"/>
    </row>
    <row r="326" spans="1:8" x14ac:dyDescent="0.25">
      <c r="A326" s="11"/>
      <c r="B326" s="12"/>
      <c r="C326" s="12"/>
      <c r="D326" s="12"/>
      <c r="E326" s="12"/>
      <c r="F326" s="12"/>
    </row>
    <row r="327" spans="1:8" x14ac:dyDescent="0.25">
      <c r="A327" s="11"/>
      <c r="B327" s="12"/>
      <c r="C327" s="12"/>
      <c r="D327" s="12"/>
      <c r="E327" s="12"/>
      <c r="F327" s="12"/>
    </row>
    <row r="328" spans="1:8" x14ac:dyDescent="0.25">
      <c r="A328" s="11"/>
      <c r="B328" s="12"/>
      <c r="C328" s="12"/>
      <c r="D328" s="12"/>
      <c r="E328" s="12"/>
      <c r="F328" s="12"/>
    </row>
    <row r="329" spans="1:8" x14ac:dyDescent="0.25">
      <c r="A329" s="11"/>
      <c r="B329" s="12"/>
      <c r="C329" s="12"/>
      <c r="D329" s="12"/>
      <c r="E329" s="12"/>
      <c r="F329" s="12"/>
    </row>
    <row r="330" spans="1:8" x14ac:dyDescent="0.25">
      <c r="A330" s="11"/>
      <c r="B330" s="12"/>
      <c r="C330" s="12"/>
      <c r="D330" s="12"/>
      <c r="E330" s="12"/>
      <c r="F330" s="12"/>
    </row>
    <row r="331" spans="1:8" x14ac:dyDescent="0.25">
      <c r="A331" s="11"/>
      <c r="B331" s="12"/>
      <c r="C331" s="12"/>
      <c r="D331" s="12"/>
      <c r="E331" s="12"/>
      <c r="F331" s="12"/>
    </row>
    <row r="332" spans="1:8" x14ac:dyDescent="0.25">
      <c r="A332" s="11"/>
      <c r="B332" s="12"/>
      <c r="C332" s="12"/>
      <c r="D332" s="12"/>
      <c r="E332" s="12"/>
      <c r="F332" s="12"/>
    </row>
    <row r="333" spans="1:8" x14ac:dyDescent="0.25">
      <c r="A333" s="11"/>
      <c r="B333" s="12"/>
      <c r="C333" s="12"/>
      <c r="D333" s="12"/>
      <c r="E333" s="12"/>
      <c r="F333" s="12"/>
    </row>
    <row r="334" spans="1:8" x14ac:dyDescent="0.25">
      <c r="A334" s="11"/>
      <c r="B334" s="12"/>
      <c r="C334" s="12"/>
      <c r="D334" s="12"/>
      <c r="E334" s="12"/>
      <c r="F334" s="12"/>
    </row>
    <row r="335" spans="1:8" x14ac:dyDescent="0.25">
      <c r="A335" s="11"/>
      <c r="B335" s="12"/>
      <c r="C335" s="12"/>
      <c r="D335" s="12"/>
      <c r="E335" s="12"/>
      <c r="F335" s="12"/>
    </row>
    <row r="336" spans="1:8" x14ac:dyDescent="0.25">
      <c r="A336" s="11"/>
      <c r="B336" s="12"/>
      <c r="C336" s="12"/>
      <c r="D336" s="12"/>
      <c r="E336" s="12"/>
      <c r="F336" s="12"/>
    </row>
    <row r="337" spans="1:10" x14ac:dyDescent="0.25">
      <c r="A337" s="11"/>
      <c r="B337" s="12"/>
      <c r="C337" s="12"/>
      <c r="D337" s="12"/>
      <c r="E337" s="12"/>
      <c r="F337" s="12"/>
    </row>
    <row r="338" spans="1:10" x14ac:dyDescent="0.25">
      <c r="A338" s="11"/>
      <c r="B338" s="12"/>
      <c r="C338" s="12"/>
      <c r="D338" s="12"/>
      <c r="E338" s="12"/>
      <c r="F338" s="12"/>
    </row>
    <row r="339" spans="1:10" x14ac:dyDescent="0.25">
      <c r="A339" s="11"/>
      <c r="B339" s="12"/>
      <c r="C339" s="12"/>
      <c r="D339" s="12"/>
      <c r="E339" s="12"/>
      <c r="F339" s="12"/>
    </row>
    <row r="340" spans="1:10" x14ac:dyDescent="0.25">
      <c r="A340" s="11"/>
      <c r="B340" s="12"/>
      <c r="C340" s="12"/>
      <c r="D340" s="12"/>
      <c r="E340" s="12"/>
      <c r="F340" s="12"/>
    </row>
    <row r="341" spans="1:10" x14ac:dyDescent="0.25">
      <c r="A341" s="11"/>
      <c r="B341" s="12"/>
      <c r="C341" s="12"/>
      <c r="D341" s="12"/>
      <c r="E341" s="12"/>
      <c r="F341" s="12"/>
    </row>
    <row r="342" spans="1:10" x14ac:dyDescent="0.25">
      <c r="A342" s="9"/>
      <c r="B342" s="76" t="s">
        <v>56</v>
      </c>
      <c r="C342" s="76"/>
      <c r="D342" s="76"/>
      <c r="E342" s="76"/>
      <c r="F342" s="76"/>
      <c r="G342" s="20"/>
      <c r="H342" s="20"/>
      <c r="I342" s="7">
        <f>G311+H311</f>
        <v>442.59</v>
      </c>
      <c r="J342" s="7">
        <f>I342</f>
        <v>442.59</v>
      </c>
    </row>
    <row r="343" spans="1:10" x14ac:dyDescent="0.25">
      <c r="A343" s="5"/>
      <c r="B343" s="77" t="s">
        <v>57</v>
      </c>
      <c r="C343" s="77"/>
      <c r="D343" s="77"/>
      <c r="E343" s="77"/>
      <c r="F343" s="77"/>
      <c r="I343" s="7">
        <v>300</v>
      </c>
      <c r="J343" s="7">
        <v>200</v>
      </c>
    </row>
    <row r="344" spans="1:10" ht="18.75" x14ac:dyDescent="0.3">
      <c r="A344" s="5"/>
      <c r="B344" s="77" t="s">
        <v>58</v>
      </c>
      <c r="C344" s="77"/>
      <c r="D344" s="77"/>
      <c r="E344" s="77"/>
      <c r="F344" s="77"/>
      <c r="I344" s="8">
        <f>I343*I342</f>
        <v>132777</v>
      </c>
      <c r="J344" s="8">
        <f>J343*J342</f>
        <v>88518</v>
      </c>
    </row>
    <row r="345" spans="1:10" x14ac:dyDescent="0.25">
      <c r="A345" s="22"/>
      <c r="B345" s="78" t="s">
        <v>60</v>
      </c>
      <c r="C345" s="78"/>
      <c r="D345" s="78"/>
      <c r="E345" s="78"/>
      <c r="F345" s="78"/>
      <c r="G345" s="23"/>
      <c r="H345" s="23"/>
      <c r="I345" s="24"/>
      <c r="J345" s="24"/>
    </row>
    <row r="346" spans="1:10" x14ac:dyDescent="0.25">
      <c r="A346" s="25">
        <v>45109</v>
      </c>
      <c r="B346" s="72" t="s">
        <v>59</v>
      </c>
      <c r="C346" s="72"/>
      <c r="D346" s="72"/>
      <c r="E346" s="72"/>
      <c r="F346" s="72"/>
      <c r="G346" s="26"/>
      <c r="H346" s="26"/>
      <c r="I346" s="27">
        <v>10000</v>
      </c>
      <c r="J346" s="27">
        <v>10000</v>
      </c>
    </row>
    <row r="347" spans="1:10" x14ac:dyDescent="0.25">
      <c r="A347" s="25"/>
      <c r="B347" s="28"/>
      <c r="C347" s="28"/>
      <c r="D347" s="28"/>
      <c r="E347" s="28"/>
      <c r="F347" s="28"/>
      <c r="G347" s="26"/>
      <c r="H347" s="26"/>
      <c r="I347" s="29"/>
      <c r="J347" s="29"/>
    </row>
    <row r="348" spans="1:10" x14ac:dyDescent="0.25">
      <c r="A348" s="25"/>
      <c r="B348" s="28"/>
      <c r="C348" s="28"/>
      <c r="D348" s="28"/>
      <c r="E348" s="28"/>
      <c r="F348" s="28"/>
      <c r="G348" s="26"/>
      <c r="H348" s="26"/>
      <c r="I348" s="29"/>
      <c r="J348" s="29"/>
    </row>
    <row r="349" spans="1:10" ht="28.5" x14ac:dyDescent="0.45">
      <c r="A349" s="25"/>
      <c r="B349" s="73" t="s">
        <v>62</v>
      </c>
      <c r="C349" s="73"/>
      <c r="D349" s="73"/>
      <c r="E349" s="73"/>
      <c r="F349" s="73"/>
      <c r="G349" s="26"/>
      <c r="H349" s="26"/>
      <c r="I349" s="30">
        <f>SUM(I346:I348)</f>
        <v>10000</v>
      </c>
      <c r="J349" s="30">
        <f>SUM(J346:J348)</f>
        <v>10000</v>
      </c>
    </row>
    <row r="350" spans="1:10" ht="33.75" x14ac:dyDescent="0.5">
      <c r="A350" s="31">
        <v>45109</v>
      </c>
      <c r="B350" s="71" t="s">
        <v>61</v>
      </c>
      <c r="C350" s="71"/>
      <c r="D350" s="71"/>
      <c r="E350" s="71"/>
      <c r="F350" s="71"/>
      <c r="G350" s="32"/>
      <c r="H350" s="32"/>
      <c r="I350" s="33">
        <f>I344-I349</f>
        <v>122777</v>
      </c>
      <c r="J350" s="33">
        <f>J344-J349</f>
        <v>78518</v>
      </c>
    </row>
  </sheetData>
  <mergeCells count="29">
    <mergeCell ref="G314:H314"/>
    <mergeCell ref="A323:F323"/>
    <mergeCell ref="G323:H323"/>
    <mergeCell ref="B315:F315"/>
    <mergeCell ref="B316:F316"/>
    <mergeCell ref="B322:F322"/>
    <mergeCell ref="G316:H316"/>
    <mergeCell ref="G317:H317"/>
    <mergeCell ref="G322:H322"/>
    <mergeCell ref="G319:H319"/>
    <mergeCell ref="G320:H320"/>
    <mergeCell ref="G321:H321"/>
    <mergeCell ref="G318:H318"/>
    <mergeCell ref="B318:F318"/>
    <mergeCell ref="B317:F317"/>
    <mergeCell ref="B319:F319"/>
    <mergeCell ref="B350:F350"/>
    <mergeCell ref="B346:F346"/>
    <mergeCell ref="B349:F349"/>
    <mergeCell ref="A312:F312"/>
    <mergeCell ref="A311:F311"/>
    <mergeCell ref="A313:F313"/>
    <mergeCell ref="A314:F314"/>
    <mergeCell ref="B320:F320"/>
    <mergeCell ref="B321:F321"/>
    <mergeCell ref="B342:F342"/>
    <mergeCell ref="B343:F343"/>
    <mergeCell ref="B344:F344"/>
    <mergeCell ref="B345:F345"/>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G77" sqref="G77"/>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63"/>
  <sheetViews>
    <sheetView topLeftCell="A28" workbookViewId="0">
      <selection activeCell="D37" sqref="D37"/>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s="42" customFormat="1" x14ac:dyDescent="0.25">
      <c r="A39" s="51"/>
      <c r="B39" s="52"/>
      <c r="C39" s="53"/>
    </row>
    <row r="40" spans="1:4" x14ac:dyDescent="0.25">
      <c r="A40" s="43"/>
      <c r="B40" s="43" t="s">
        <v>247</v>
      </c>
      <c r="C40" s="46">
        <f>SUM(C2:C39)</f>
        <v>20600</v>
      </c>
    </row>
    <row r="41" spans="1:4" hidden="1" x14ac:dyDescent="0.25">
      <c r="B41" t="s">
        <v>38</v>
      </c>
    </row>
    <row r="42" spans="1:4" hidden="1" x14ac:dyDescent="0.25">
      <c r="A42" s="55">
        <v>45690</v>
      </c>
      <c r="B42" s="48" t="s">
        <v>38</v>
      </c>
      <c r="C42" s="54">
        <v>2300</v>
      </c>
    </row>
    <row r="43" spans="1:4" hidden="1" x14ac:dyDescent="0.25">
      <c r="A43" s="55"/>
      <c r="B43" s="48" t="s">
        <v>38</v>
      </c>
      <c r="C43" s="54">
        <v>2250</v>
      </c>
    </row>
    <row r="44" spans="1:4" hidden="1" x14ac:dyDescent="0.25">
      <c r="A44" s="55">
        <v>45804</v>
      </c>
      <c r="B44" s="48" t="s">
        <v>278</v>
      </c>
      <c r="C44" s="54">
        <v>2700</v>
      </c>
    </row>
    <row r="45" spans="1:4" hidden="1" x14ac:dyDescent="0.25">
      <c r="A45" s="55">
        <v>45839</v>
      </c>
      <c r="B45" s="48" t="s">
        <v>278</v>
      </c>
      <c r="C45" s="54">
        <v>4200</v>
      </c>
    </row>
    <row r="46" spans="1:4" x14ac:dyDescent="0.25">
      <c r="A46" s="55"/>
      <c r="B46" s="48"/>
      <c r="C46" s="54">
        <v>4500</v>
      </c>
    </row>
    <row r="47" spans="1:4" x14ac:dyDescent="0.25">
      <c r="A47" s="55">
        <v>46266</v>
      </c>
      <c r="B47" s="48"/>
      <c r="C47" s="54">
        <v>2100</v>
      </c>
    </row>
    <row r="48" spans="1:4" x14ac:dyDescent="0.25">
      <c r="A48" s="48"/>
      <c r="B48" s="48"/>
      <c r="C48" s="54"/>
    </row>
    <row r="49" spans="1:3" x14ac:dyDescent="0.25">
      <c r="A49" s="43"/>
      <c r="B49" s="43" t="s">
        <v>252</v>
      </c>
      <c r="C49" s="46">
        <f>SUM(C41:C48)</f>
        <v>18050</v>
      </c>
    </row>
    <row r="50" spans="1:3" x14ac:dyDescent="0.25">
      <c r="A50" s="6"/>
      <c r="B50" s="6" t="s">
        <v>253</v>
      </c>
      <c r="C50" s="47">
        <f>C40-C49</f>
        <v>2550</v>
      </c>
    </row>
    <row r="52" spans="1:3" x14ac:dyDescent="0.25">
      <c r="B52" s="13" t="s">
        <v>281</v>
      </c>
    </row>
    <row r="53" spans="1:3" x14ac:dyDescent="0.25">
      <c r="B53" s="13" t="s">
        <v>282</v>
      </c>
    </row>
    <row r="54" spans="1:3" x14ac:dyDescent="0.25">
      <c r="B54" s="13" t="s">
        <v>287</v>
      </c>
    </row>
    <row r="55" spans="1:3" ht="30" x14ac:dyDescent="0.25">
      <c r="B55" s="13" t="s">
        <v>292</v>
      </c>
    </row>
    <row r="60" spans="1:3" x14ac:dyDescent="0.25">
      <c r="B60" s="13" t="s">
        <v>306</v>
      </c>
    </row>
    <row r="61" spans="1:3" x14ac:dyDescent="0.25">
      <c r="B61" s="13" t="s">
        <v>307</v>
      </c>
    </row>
    <row r="62" spans="1:3" x14ac:dyDescent="0.25">
      <c r="B62" s="13" t="s">
        <v>308</v>
      </c>
    </row>
    <row r="63" spans="1:3" x14ac:dyDescent="0.25">
      <c r="B63" s="13" t="s">
        <v>309</v>
      </c>
    </row>
  </sheetData>
  <mergeCells count="10">
    <mergeCell ref="C35:C36"/>
    <mergeCell ref="C32:C34"/>
    <mergeCell ref="C28:C31"/>
    <mergeCell ref="C20:C21"/>
    <mergeCell ref="C22:C27"/>
    <mergeCell ref="C2:C4"/>
    <mergeCell ref="C5:C6"/>
    <mergeCell ref="C8:C9"/>
    <mergeCell ref="C10:C14"/>
    <mergeCell ref="C15:C19"/>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2026-02-11T00:28:05Z</dcterms:modified>
</cp:coreProperties>
</file>