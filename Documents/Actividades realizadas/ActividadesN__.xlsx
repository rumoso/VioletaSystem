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55DDC944-032F-48EC-ADE9-ABD6600F64C2}"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7" i="7" l="1"/>
  <c r="C74" i="7"/>
  <c r="C81" i="5"/>
  <c r="C59" i="5"/>
  <c r="C88" i="7" l="1"/>
  <c r="C82" i="5"/>
  <c r="G352" i="1"/>
  <c r="H341" i="1"/>
  <c r="H343" i="1" s="1"/>
  <c r="G341" i="1"/>
  <c r="G343" i="1" s="1"/>
  <c r="J379" i="1"/>
  <c r="I379" i="1"/>
  <c r="G344" i="1" l="1"/>
  <c r="G353" i="1" s="1"/>
  <c r="I372" i="1"/>
  <c r="I374" i="1" s="1"/>
  <c r="I380" i="1" s="1"/>
  <c r="J372" i="1" l="1"/>
  <c r="J374" i="1" s="1"/>
  <c r="J380" i="1" s="1"/>
</calcChain>
</file>

<file path=xl/sharedStrings.xml><?xml version="1.0" encoding="utf-8"?>
<sst xmlns="http://schemas.openxmlformats.org/spreadsheetml/2006/main" count="806" uniqueCount="347">
  <si>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</si>
  <si>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</si>
  <si>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</si>
  <si>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</si>
  <si>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</si>
  <si>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</si>
  <si>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</si>
  <si>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</si>
  <si>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</si>
  <si>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</si>
  <si>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</si>
  <si>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</si>
  <si>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</si>
  <si>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</si>
  <si>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</si>
  <si>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</si>
  <si>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</si>
  <si>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</si>
  <si>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</si>
  <si>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</si>
  <si>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</si>
  <si>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</si>
  <si>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</si>
  <si>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</si>
  <si>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</si>
  <si>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</si>
  <si>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</si>
  <si>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</si>
  <si>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</si>
  <si>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</si>
  <si>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</si>
  <si>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</si>
  <si>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</si>
  <si>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</si>
  <si>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</si>
  <si>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</si>
  <si>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</si>
  <si>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</si>
  <si>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</si>
  <si>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</si>
  <si>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</si>
  <si>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</si>
  <si>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</si>
  <si>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</si>
  <si>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</si>
  <si>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</si>
  <si>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</si>
  <si>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</si>
  <si>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</si>
  <si>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</si>
  <si>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</si>
  <si>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</si>
  <si>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</si>
  <si>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</si>
  <si>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</si>
  <si>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</si>
  <si>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</si>
  <si>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</si>
  <si>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</si>
  <si>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</si>
  <si>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</si>
  <si>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</si>
  <si>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</si>
  <si>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</si>
  <si>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</si>
  <si>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</si>
  <si>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</si>
  <si>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</si>
  <si>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</si>
  <si>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</si>
  <si>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</si>
  <si>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</si>
  <si>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</si>
  <si>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</si>
  <si>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</si>
  <si>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</si>
  <si>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</si>
  <si>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</si>
  <si>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</si>
  <si>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</si>
  <si>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</si>
  <si>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</si>
  <si>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</si>
  <si>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</si>
  <si>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</si>
  <si>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</si>
  <si>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</si>
  <si>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</si>
  <si>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</si>
  <si>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</si>
  <si>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</si>
  <si>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</si>
  <si>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</si>
  <si>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</si>
  <si>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</si>
  <si>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</si>
  <si>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</si>
  <si>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</si>
  <si>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</si>
  <si>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</si>
  <si>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</si>
  <si>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</si>
  <si>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</si>
  <si>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</si>
  <si>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</si>
  <si>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</si>
  <si>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</si>
  <si>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</si>
  <si>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</si>
  <si>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</si>
  <si>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</si>
  <si>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</si>
  <si>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</si>
  <si>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</si>
  <si>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</si>
  <si>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</si>
  <si>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</si>
  <si>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</si>
  <si>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</si>
  <si>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</si>
  <si>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</si>
  <si>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</si>
  <si>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</si>
  <si>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</si>
  <si>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</si>
  <si>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</si>
  <si>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</si>
  <si>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</si>
  <si>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</si>
  <si>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</si>
  <si>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</si>
  <si>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</si>
  <si>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</si>
  <si>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</si>
  <si>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</si>
  <si>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</si>
  <si>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</si>
  <si>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</si>
  <si>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</si>
  <si>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</si>
  <si>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</si>
  <si>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</si>
  <si>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</si>
  <si>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</si>
  <si>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</si>
  <si>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</si>
  <si>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</si>
  <si>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</si>
  <si>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</si>
  <si>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</si>
  <si>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</si>
  <si>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</si>
  <si>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</si>
  <si>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</si>
  <si>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</si>
  <si>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</si>
  <si>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</si>
  <si>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</si>
  <si>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</si>
  <si>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</si>
  <si>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</si>
  <si>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</si>
  <si>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</si>
  <si>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</si>
  <si>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</si>
  <si>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</si>
  <si>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</si>
  <si>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</si>
  <si>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</si>
  <si>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</si>
  <si>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</si>
  <si>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</si>
  <si>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</si>
  <si>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</si>
  <si>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</si>
  <si>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</si>
  <si>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</si>
  <si>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</si>
  <si>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</si>
  <si>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</si>
  <si>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</si>
  <si>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</si>
  <si>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</si>
  <si>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</si>
  <si>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</si>
  <si>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</si>
  <si>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</si>
  <si>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</si>
  <si>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</si>
  <si>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</si>
  <si>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</si>
  <si>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</si>
  <si>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</si>
  <si>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</si>
  <si>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</si>
  <si>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</si>
  <si>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</si>
  <si>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</si>
  <si>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</si>
  <si>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</si>
  <si>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</si>
  <si>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</si>
  <si>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</si>
  <si>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</si>
  <si>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</si>
  <si>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</si>
  <si>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</si>
  <si>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</si>
  <si>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</si>
  <si>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</si>
  <si>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</si>
  <si>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</si>
  <si>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</si>
  <si>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</si>
  <si>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</si>
  <si>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</si>
  <si>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</si>
  <si>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</si>
  <si>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</si>
  <si>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</si>
  <si>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</si>
  <si>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</si>
  <si>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</si>
  <si>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</si>
  <si>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</si>
  <si>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</si>
  <si>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</si>
  <si>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</si>
  <si>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</si>
  <si>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</si>
  <si>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</si>
  <si>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</si>
  <si>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</si>
  <si>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</si>
  <si>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</si>
  <si>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</si>
  <si>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</si>
  <si>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</si>
  <si>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</si>
  <si>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</si>
  <si>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</si>
  <si>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</si>
  <si>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</si>
  <si>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</si>
  <si>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</si>
  <si>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</si>
  <si>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</si>
  <si>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</si>
  <si>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</si>
  <si>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</si>
  <si>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</si>
  <si>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</si>
  <si>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</si>
  <si>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</si>
  <si>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</si>
  <si>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</si>
  <si>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</si>
  <si>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</si>
  <si>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</si>
  <si>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</si>
  <si>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</si>
  <si>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</si>
  <si>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</si>
  <si>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</si>
  <si>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</si>
  <si>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</si>
  <si>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</si>
  <si>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</si>
  <si>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</si>
  <si>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</si>
  <si>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</si>
  <si>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</si>
  <si>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</si>
  <si>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</si>
  <si>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</si>
  <si>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</si>
  <si>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</si>
  <si>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</si>
  <si>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</si>
  <si>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</si>
  <si>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</si>
  <si>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</si>
  <si>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</si>
  <si>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</si>
  <si>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</si>
  <si>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</si>
  <si>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</si>
  <si>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</si>
  <si>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</si>
  <si>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</si>
  <si>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</si>
  <si>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</si>
  <si>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</si>
  <si>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</si>
  <si>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</si>
  <si>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</si>
  <si>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</si>
  <si>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</si>
  <si>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</si>
  <si>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</si>
  <si>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</si>
  <si>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</si>
  <si>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</si>
  <si>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</si>
  <si>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</si>
  <si>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</si>
  <si>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</si>
  <si>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</si>
  <si>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</si>
  <si>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</si>
  <si>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</si>
  <si>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</si>
  <si>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</si>
  <si>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</si>
  <si>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</si>
  <si>
    <t>Carga y descarga de imágenes en los activos del cliente, manejo de carrusel para la mejor visualización</t>
  </si>
  <si>
    <t>Estructura de SQL de Activo del cliente, así como su alta, modificación, eliminación y consulta de lista</t>
  </si>
  <si>
    <t>Reunion con Martín para ver los avances de los sobres y tomar sus nuevas indicaciones</t>
  </si>
  <si>
    <t>Calculo de monto del metal por kilataje en la sección metal agranel</t>
  </si>
  <si>
    <t>Manejo completo de los servicios externos, alta, modificación, eliminación y consulta</t>
  </si>
  <si>
    <t>Alimentación de la mano de obra, alta, modificación, eliminación y consulta de la sección de mano de obra</t>
  </si>
  <si>
    <t>Navegación entre los campos en toda la pantalla de taller</t>
  </si>
  <si>
    <t>Manejo de Imágenes para el encabezado de taller, asi como en el metal del cliente</t>
  </si>
  <si>
    <t>Butones para pasar de ventas a taller y biseversa</t>
  </si>
  <si>
    <t>Agregar el destajo en los usuarios</t>
  </si>
  <si>
    <t>Agregar el total de taller en la parte superior</t>
  </si>
  <si>
    <t>Cambio de producto por definir por un producto ya registrado</t>
  </si>
  <si>
    <t>Se agregan botones para cambiar Estatus el taller  de cotización a Pedido de taller, asignado, Finalizado/Mostrador, Entregado</t>
  </si>
  <si>
    <t>Agregar pagos en nuevos taller</t>
  </si>
  <si>
    <t>Actualización de pantalla para el manejo de tipos de cambio en Oro, Dólar, Plata diferentes Kilatajes, etc, asi como la alimentación, edición, actualziación y eliminación de nuevas referencias para los tipos de cambios</t>
  </si>
  <si>
    <t>Reunión mostrando el avance de taller</t>
  </si>
  <si>
    <t>Calculo de los costos y precios de venta en la pantalla de tipos de cambios</t>
  </si>
  <si>
    <t>Backend: endpoint para insertar o actualizar registro de firma por status de taller</t>
  </si>
  <si>
    <t>Frontend: apertura de cámara, captura de foto y cambio entre cámara frontal/trasera en modal de imágenes del encabezado</t>
  </si>
  <si>
    <t>Frontend: misma funcionalidad de cámara replicada en modal de imágenes del activo del cliente</t>
  </si>
  <si>
    <t>Backend: endpoint para obtener historial completo de firmas con JOINs a usuarios y tablas de catálogo</t>
  </si>
  <si>
    <t>Backend: extracción de firma activa como subquery independiente del SELECT principal del taller</t>
  </si>
  <si>
    <t>Frontend: modal de firma con opciones Aprobar, Rechazar y No firmar, con comentario requerido al rechazar</t>
  </si>
  <si>
    <t>Frontend: modal de historial de firmas con tarjetas por registro, íconos y colores por estado</t>
  </si>
  <si>
    <t>Frontend: métodos en taller.component.ts para insertar firma al cambiar status y abrir ambos modales</t>
  </si>
  <si>
    <t>Frontend: reestructura del encabezado sticky del taller con tarjeta de estado de firma centrada</t>
  </si>
  <si>
    <t>Frontend: botones Re-Asignar, Re-Finalizar y Re-Entregar cuando la firma fue rechazada</t>
  </si>
  <si>
    <t>Frontend: Análisis y definición de las acciones permitidas en la pantalla de taller, Generación de los inserts a la tabla de actionsections y actions, implementación de los 24 permisos en la pantalla de taller</t>
  </si>
  <si>
    <t>recalculo del total de la nota en cada modificacion de la misma</t>
  </si>
  <si>
    <t>Permiso de visualizacion de costos, validacion del precio minimo en el metal agranel de costo * gramos *1.30 y en productos</t>
  </si>
  <si>
    <t>Reunion para mostrar Avances y tomar ajustes</t>
  </si>
  <si>
    <t>Rediseño de filtros en la consulta de taller, estatus de taller, técnico del taller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</si>
</sst>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0" fontId="0" fillId="0" borderId="0" xfId="0"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2"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44" fontId="0" fillId="0" borderId="0" xfId="1" applyFont="1" applyAlignment="1">
      <alignment horizontal="center"/>
    </xf>
    <xf numFmtId="14" fontId="0" fillId="2" borderId="0" xfId="0" applyNumberFormat="1" applyFill="1" applyAlignment="1">
      <alignment horizontal="center" wrapText="1"/>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80"/>
  <sheetViews>
    <sheetView tabSelected="1" topLeftCell="B1" workbookViewId="0">
      <pane ySplit="1" topLeftCell="A331" activePane="bottomLeft" state="frozen"/>
      <selection pane="bottomLeft" activeCell="J328" sqref="J328"/>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20">
        <v>2</v>
      </c>
    </row>
    <row r="297" spans="1:8" x14ac:dyDescent="0.25">
      <c r="A297" s="5"/>
      <c r="C297" s="9">
        <v>46052</v>
      </c>
      <c r="D297" s="13" t="s">
        <v>306</v>
      </c>
      <c r="E297" s="2">
        <v>0.50694444444444442</v>
      </c>
      <c r="F297" s="2">
        <v>0.55208333333333337</v>
      </c>
      <c r="H297" s="20">
        <v>1</v>
      </c>
    </row>
    <row r="298" spans="1:8" x14ac:dyDescent="0.25">
      <c r="A298" s="5"/>
      <c r="C298" s="9">
        <v>46052</v>
      </c>
      <c r="D298" s="13" t="s">
        <v>306</v>
      </c>
      <c r="E298" s="2">
        <v>0.65416666666666667</v>
      </c>
      <c r="F298" s="2">
        <v>0.70138888888888884</v>
      </c>
      <c r="H298" s="20">
        <v>1</v>
      </c>
    </row>
    <row r="299" spans="1:8" x14ac:dyDescent="0.25">
      <c r="A299" s="5"/>
      <c r="C299" s="9">
        <v>46061</v>
      </c>
      <c r="D299" s="13" t="s">
        <v>307</v>
      </c>
      <c r="E299" s="2">
        <v>0.8125</v>
      </c>
      <c r="F299" s="2">
        <v>0.88263888888888886</v>
      </c>
      <c r="H299" s="20">
        <v>1.5</v>
      </c>
    </row>
    <row r="300" spans="1:8" x14ac:dyDescent="0.25">
      <c r="A300" s="5"/>
      <c r="C300" s="9">
        <v>46061</v>
      </c>
      <c r="D300" s="13" t="s">
        <v>308</v>
      </c>
      <c r="E300" s="2">
        <v>0.9</v>
      </c>
      <c r="F300" s="2">
        <v>0.93611111111111112</v>
      </c>
      <c r="H300" s="20">
        <v>1</v>
      </c>
    </row>
    <row r="301" spans="1:8" x14ac:dyDescent="0.25">
      <c r="A301" s="5"/>
      <c r="C301" s="9">
        <v>46061</v>
      </c>
      <c r="D301" s="13" t="s">
        <v>309</v>
      </c>
      <c r="E301" s="2">
        <v>0.375</v>
      </c>
      <c r="F301" s="2">
        <v>0.47222222222222221</v>
      </c>
      <c r="H301" s="20">
        <v>2</v>
      </c>
    </row>
    <row r="302" spans="1:8" ht="45" x14ac:dyDescent="0.25">
      <c r="A302" s="5"/>
      <c r="C302" s="9">
        <v>46062</v>
      </c>
      <c r="D302" s="13" t="s">
        <v>311</v>
      </c>
      <c r="E302" s="2">
        <v>0.58333333333333337</v>
      </c>
      <c r="F302" s="2">
        <v>0.67361111111111116</v>
      </c>
      <c r="H302" s="20">
        <v>2</v>
      </c>
    </row>
    <row r="303" spans="1:8" x14ac:dyDescent="0.25">
      <c r="A303" s="5"/>
      <c r="C303" s="9">
        <v>46063</v>
      </c>
      <c r="D303" s="13" t="s">
        <v>312</v>
      </c>
      <c r="E303" s="2">
        <v>0.47916666666666669</v>
      </c>
      <c r="F303" s="2">
        <v>0.52430555555555558</v>
      </c>
      <c r="H303" s="20">
        <v>1</v>
      </c>
    </row>
    <row r="304" spans="1:8" ht="45" x14ac:dyDescent="0.25">
      <c r="A304" s="5"/>
      <c r="C304" s="9">
        <v>46063</v>
      </c>
      <c r="D304" s="13" t="s">
        <v>313</v>
      </c>
      <c r="E304" s="2">
        <v>0.54166666666666663</v>
      </c>
      <c r="F304" s="2">
        <v>0.71527777777777779</v>
      </c>
      <c r="H304" s="20">
        <v>4</v>
      </c>
    </row>
    <row r="305" spans="1:8" ht="30" x14ac:dyDescent="0.25">
      <c r="A305" s="5"/>
      <c r="C305" s="9">
        <v>46063</v>
      </c>
      <c r="D305" s="13" t="s">
        <v>314</v>
      </c>
      <c r="E305" s="2">
        <v>0.71527777777777779</v>
      </c>
      <c r="F305" s="2">
        <v>0.84375</v>
      </c>
      <c r="H305" s="20">
        <v>3</v>
      </c>
    </row>
    <row r="306" spans="1:8" ht="30" x14ac:dyDescent="0.25">
      <c r="A306" s="5"/>
      <c r="C306" s="9"/>
      <c r="D306" s="13" t="s">
        <v>316</v>
      </c>
      <c r="E306" s="2"/>
      <c r="F306" s="2"/>
      <c r="H306" s="20">
        <v>2</v>
      </c>
    </row>
    <row r="307" spans="1:8" ht="30" x14ac:dyDescent="0.25">
      <c r="A307" s="5"/>
      <c r="C307" s="9">
        <v>46063</v>
      </c>
      <c r="D307" s="13" t="s">
        <v>315</v>
      </c>
      <c r="E307" s="2">
        <v>0.84375</v>
      </c>
      <c r="F307" s="2">
        <v>0.97916666666666663</v>
      </c>
      <c r="H307" s="20">
        <v>3</v>
      </c>
    </row>
    <row r="308" spans="1:8" ht="30" x14ac:dyDescent="0.25">
      <c r="A308" s="5"/>
      <c r="C308" s="9">
        <v>46064</v>
      </c>
      <c r="D308" s="13" t="s">
        <v>317</v>
      </c>
      <c r="E308" s="2">
        <v>0.4375</v>
      </c>
      <c r="F308" s="2">
        <v>0.4826388888888889</v>
      </c>
      <c r="H308" s="20">
        <v>1</v>
      </c>
    </row>
    <row r="309" spans="1:8" ht="45" x14ac:dyDescent="0.25">
      <c r="A309" s="5"/>
      <c r="C309" s="9">
        <v>46073</v>
      </c>
      <c r="D309" s="13" t="s">
        <v>329</v>
      </c>
      <c r="E309" s="2">
        <v>0.41666666666666669</v>
      </c>
      <c r="F309" s="2">
        <v>0.63888888888888884</v>
      </c>
      <c r="H309" s="14">
        <v>5</v>
      </c>
    </row>
    <row r="310" spans="1:8" ht="30" x14ac:dyDescent="0.25">
      <c r="A310" s="5"/>
      <c r="C310" s="9"/>
      <c r="D310" s="13" t="s">
        <v>319</v>
      </c>
      <c r="E310" s="2">
        <v>0.39583333333333331</v>
      </c>
      <c r="F310" s="2">
        <v>0.56944444444444442</v>
      </c>
      <c r="H310" s="14">
        <v>3</v>
      </c>
    </row>
    <row r="311" spans="1:8" x14ac:dyDescent="0.25">
      <c r="A311" s="5"/>
      <c r="C311" s="9">
        <v>46074</v>
      </c>
      <c r="D311" s="13" t="s">
        <v>321</v>
      </c>
      <c r="E311" s="2">
        <v>0.375</v>
      </c>
      <c r="F311" s="2">
        <v>0.46527777777777779</v>
      </c>
      <c r="H311" s="14">
        <v>3</v>
      </c>
    </row>
    <row r="312" spans="1:8" x14ac:dyDescent="0.25">
      <c r="A312" s="5"/>
      <c r="C312" s="9">
        <v>46074</v>
      </c>
      <c r="D312" s="13" t="s">
        <v>318</v>
      </c>
      <c r="E312" s="2">
        <v>0.47222222222222221</v>
      </c>
      <c r="F312" s="2">
        <v>0.55694444444444446</v>
      </c>
      <c r="H312" s="14">
        <v>2</v>
      </c>
    </row>
    <row r="313" spans="1:8" ht="30" x14ac:dyDescent="0.25">
      <c r="A313" s="5"/>
      <c r="C313" s="9">
        <v>46074</v>
      </c>
      <c r="D313" s="13" t="s">
        <v>320</v>
      </c>
      <c r="E313" s="2">
        <v>0.58333333333333337</v>
      </c>
      <c r="F313" s="2">
        <v>0.71875</v>
      </c>
      <c r="H313" s="14">
        <v>3</v>
      </c>
    </row>
    <row r="314" spans="1:8" ht="30" x14ac:dyDescent="0.25">
      <c r="A314" s="5"/>
      <c r="C314" s="9">
        <v>46074</v>
      </c>
      <c r="D314" s="13" t="s">
        <v>322</v>
      </c>
      <c r="E314" s="2">
        <v>0.75</v>
      </c>
      <c r="F314" s="2">
        <v>0.83333333333333337</v>
      </c>
      <c r="H314" s="14">
        <v>2</v>
      </c>
    </row>
    <row r="315" spans="1:8" x14ac:dyDescent="0.25">
      <c r="A315" s="5"/>
      <c r="C315" s="9">
        <v>46074</v>
      </c>
      <c r="D315" s="13" t="s">
        <v>323</v>
      </c>
      <c r="E315" s="2">
        <v>0.83333333333333337</v>
      </c>
      <c r="F315" s="2">
        <v>0.85416666666666663</v>
      </c>
      <c r="H315" s="14">
        <v>0.5</v>
      </c>
    </row>
    <row r="316" spans="1:8" x14ac:dyDescent="0.25">
      <c r="A316" s="5"/>
      <c r="C316" s="9">
        <v>46074</v>
      </c>
      <c r="D316" s="13" t="s">
        <v>324</v>
      </c>
      <c r="E316" s="2">
        <v>0.85416666666666663</v>
      </c>
      <c r="F316" s="2">
        <v>0.875</v>
      </c>
      <c r="H316" s="14">
        <v>0.5</v>
      </c>
    </row>
    <row r="317" spans="1:8" x14ac:dyDescent="0.25">
      <c r="A317" s="5"/>
      <c r="C317" s="9">
        <v>46074</v>
      </c>
      <c r="D317" s="13" t="s">
        <v>325</v>
      </c>
      <c r="E317" s="2">
        <v>0.875</v>
      </c>
      <c r="F317" s="2">
        <v>0.8979166666666667</v>
      </c>
      <c r="H317" s="14">
        <v>0.5</v>
      </c>
    </row>
    <row r="318" spans="1:8" x14ac:dyDescent="0.25">
      <c r="A318" s="5"/>
      <c r="C318" s="9">
        <v>46076</v>
      </c>
      <c r="D318" s="13" t="s">
        <v>326</v>
      </c>
      <c r="E318" s="2">
        <v>0.8979166666666667</v>
      </c>
      <c r="F318" s="2">
        <v>0.9555555555555556</v>
      </c>
      <c r="H318" s="14">
        <v>1.5</v>
      </c>
    </row>
    <row r="319" spans="1:8" ht="30" x14ac:dyDescent="0.25">
      <c r="A319" s="5"/>
      <c r="C319" s="9">
        <v>46076</v>
      </c>
      <c r="D319" s="13" t="s">
        <v>327</v>
      </c>
      <c r="E319" s="2">
        <v>0.375</v>
      </c>
      <c r="F319" s="2">
        <v>0.46180555555555558</v>
      </c>
      <c r="H319" s="14">
        <v>2</v>
      </c>
    </row>
    <row r="320" spans="1:8" x14ac:dyDescent="0.25">
      <c r="A320" s="5"/>
      <c r="C320" s="9">
        <v>46076</v>
      </c>
      <c r="D320" s="13" t="s">
        <v>328</v>
      </c>
      <c r="E320" s="2">
        <v>0.5</v>
      </c>
      <c r="F320" s="2">
        <v>0.58680555555555558</v>
      </c>
      <c r="H320" s="14">
        <v>2</v>
      </c>
    </row>
    <row r="321" spans="1:8" x14ac:dyDescent="0.25">
      <c r="A321" s="5"/>
      <c r="C321" s="9">
        <v>46078</v>
      </c>
      <c r="D321" s="13" t="s">
        <v>330</v>
      </c>
      <c r="E321" s="2">
        <v>0.25</v>
      </c>
      <c r="F321" s="2">
        <v>0.3125</v>
      </c>
      <c r="H321" s="14">
        <v>1.5</v>
      </c>
    </row>
    <row r="322" spans="1:8" x14ac:dyDescent="0.25">
      <c r="A322" s="5"/>
      <c r="C322" s="9">
        <v>46079</v>
      </c>
      <c r="D322" s="13" t="s">
        <v>331</v>
      </c>
      <c r="E322" s="2">
        <v>0.375</v>
      </c>
      <c r="F322" s="2">
        <v>0.4861111111111111</v>
      </c>
      <c r="H322" s="14">
        <v>1.5</v>
      </c>
    </row>
    <row r="323" spans="1:8" ht="30" x14ac:dyDescent="0.25">
      <c r="A323" s="5"/>
      <c r="C323" s="9">
        <v>46080</v>
      </c>
      <c r="D323" s="13" t="s">
        <v>333</v>
      </c>
      <c r="E323" s="2">
        <v>0.33333333333333331</v>
      </c>
      <c r="F323" s="2">
        <v>0.41666666666666669</v>
      </c>
      <c r="H323" s="14">
        <v>2</v>
      </c>
    </row>
    <row r="324" spans="1:8" ht="30" x14ac:dyDescent="0.25">
      <c r="A324" s="5"/>
      <c r="C324" s="9">
        <v>46080</v>
      </c>
      <c r="D324" s="71" t="s">
        <v>334</v>
      </c>
      <c r="E324" s="2">
        <v>0.4375</v>
      </c>
      <c r="F324" s="2">
        <v>0.45833333333333331</v>
      </c>
      <c r="H324" s="14">
        <v>0.5</v>
      </c>
    </row>
    <row r="325" spans="1:8" ht="30" x14ac:dyDescent="0.25">
      <c r="A325" s="5"/>
      <c r="C325" s="9">
        <v>46080</v>
      </c>
      <c r="D325" s="71" t="s">
        <v>332</v>
      </c>
      <c r="E325" s="2">
        <v>0.45833333333333331</v>
      </c>
      <c r="F325" s="2">
        <v>0.5</v>
      </c>
      <c r="H325" s="14">
        <v>1</v>
      </c>
    </row>
    <row r="326" spans="1:8" ht="30" x14ac:dyDescent="0.25">
      <c r="A326" s="5"/>
      <c r="C326" s="9">
        <v>46080</v>
      </c>
      <c r="D326" s="71" t="s">
        <v>335</v>
      </c>
      <c r="E326" s="2">
        <v>0.5</v>
      </c>
      <c r="F326" s="2">
        <v>0.54166666666666663</v>
      </c>
      <c r="H326" s="14">
        <v>1</v>
      </c>
    </row>
    <row r="327" spans="1:8" ht="30" x14ac:dyDescent="0.25">
      <c r="A327" s="5"/>
      <c r="C327" s="9">
        <v>46080</v>
      </c>
      <c r="D327" s="13" t="s">
        <v>336</v>
      </c>
      <c r="E327" s="2">
        <v>0.58333333333333337</v>
      </c>
      <c r="F327" s="2">
        <v>0.625</v>
      </c>
      <c r="H327" s="14">
        <v>1</v>
      </c>
    </row>
    <row r="328" spans="1:8" ht="30" x14ac:dyDescent="0.25">
      <c r="A328" s="5"/>
      <c r="C328" s="9">
        <v>46081</v>
      </c>
      <c r="D328" s="13" t="s">
        <v>337</v>
      </c>
      <c r="E328" s="2">
        <v>0.20833333333333334</v>
      </c>
      <c r="F328" s="2">
        <v>0.29166666666666669</v>
      </c>
      <c r="H328" s="14">
        <v>2</v>
      </c>
    </row>
    <row r="329" spans="1:8" ht="30" x14ac:dyDescent="0.25">
      <c r="A329" s="5"/>
      <c r="C329" s="9">
        <v>46081</v>
      </c>
      <c r="D329" s="13" t="s">
        <v>338</v>
      </c>
      <c r="E329" s="2">
        <v>0.29166666666666669</v>
      </c>
      <c r="F329" s="2">
        <v>0.35416666666666669</v>
      </c>
      <c r="H329" s="14">
        <v>1.5</v>
      </c>
    </row>
    <row r="330" spans="1:8" ht="30" x14ac:dyDescent="0.25">
      <c r="A330" s="5"/>
      <c r="C330" s="9">
        <v>46081</v>
      </c>
      <c r="D330" s="71" t="s">
        <v>339</v>
      </c>
      <c r="E330" s="2">
        <v>0.35416666666666669</v>
      </c>
      <c r="F330" s="2">
        <v>0.375</v>
      </c>
      <c r="H330" s="14">
        <v>0.5</v>
      </c>
    </row>
    <row r="331" spans="1:8" ht="30" x14ac:dyDescent="0.25">
      <c r="A331" s="5"/>
      <c r="C331" s="9">
        <v>46081</v>
      </c>
      <c r="D331" s="71" t="s">
        <v>340</v>
      </c>
      <c r="E331" s="2">
        <v>0.375</v>
      </c>
      <c r="F331" s="2">
        <v>0.41666666666666669</v>
      </c>
      <c r="H331" s="14">
        <v>1</v>
      </c>
    </row>
    <row r="332" spans="1:8" x14ac:dyDescent="0.25">
      <c r="A332" s="5"/>
      <c r="C332" s="9"/>
      <c r="D332" s="13" t="s">
        <v>341</v>
      </c>
      <c r="E332" s="2">
        <v>0.41666666666666669</v>
      </c>
      <c r="F332" s="2">
        <v>0.45833333333333331</v>
      </c>
      <c r="H332" s="14">
        <v>1</v>
      </c>
    </row>
    <row r="333" spans="1:8" ht="45" x14ac:dyDescent="0.25">
      <c r="A333" s="5"/>
      <c r="C333" s="9">
        <v>46081</v>
      </c>
      <c r="D333" s="13" t="s">
        <v>342</v>
      </c>
      <c r="E333" s="2">
        <v>0.54166666666666663</v>
      </c>
      <c r="F333" s="2">
        <v>0.66666666666666663</v>
      </c>
      <c r="H333" s="14">
        <v>3</v>
      </c>
    </row>
    <row r="334" spans="1:8" x14ac:dyDescent="0.25">
      <c r="A334" s="5"/>
      <c r="C334" s="61">
        <v>46090</v>
      </c>
      <c r="D334" s="13" t="s">
        <v>343</v>
      </c>
      <c r="E334" s="2">
        <v>0.33333333333333331</v>
      </c>
      <c r="F334" s="2">
        <v>0.375</v>
      </c>
      <c r="H334" s="14">
        <v>1</v>
      </c>
    </row>
    <row r="335" spans="1:8" ht="30" x14ac:dyDescent="0.25">
      <c r="A335" s="5"/>
      <c r="C335" s="61">
        <v>46090</v>
      </c>
      <c r="D335" s="13" t="s">
        <v>344</v>
      </c>
      <c r="E335" s="2">
        <v>0.375</v>
      </c>
      <c r="F335" s="2">
        <v>0.45833333333333331</v>
      </c>
      <c r="H335" s="14">
        <v>2</v>
      </c>
    </row>
    <row r="336" spans="1:8" x14ac:dyDescent="0.25">
      <c r="A336" s="5"/>
      <c r="C336" s="61">
        <v>46090</v>
      </c>
      <c r="D336" s="13" t="s">
        <v>345</v>
      </c>
      <c r="E336" s="2">
        <v>0.64583333333333337</v>
      </c>
      <c r="F336" s="2">
        <v>0.70833333333333337</v>
      </c>
      <c r="H336" s="14">
        <v>1.5</v>
      </c>
    </row>
    <row r="337" spans="1:10" x14ac:dyDescent="0.25">
      <c r="A337" s="5"/>
      <c r="C337" s="61">
        <v>46090</v>
      </c>
      <c r="D337" s="13" t="s">
        <v>346</v>
      </c>
      <c r="E337" s="2">
        <v>0.70833333333333337</v>
      </c>
      <c r="F337" s="2">
        <v>0.75</v>
      </c>
      <c r="H337" s="14">
        <v>1</v>
      </c>
    </row>
    <row r="338" spans="1:10" x14ac:dyDescent="0.25">
      <c r="A338" s="5"/>
      <c r="C338" s="61"/>
      <c r="D338" s="13"/>
      <c r="E338" s="2"/>
      <c r="F338" s="2"/>
    </row>
    <row r="339" spans="1:10" x14ac:dyDescent="0.25">
      <c r="A339" s="5"/>
      <c r="C339" s="61"/>
      <c r="D339" s="13"/>
      <c r="E339" s="2"/>
      <c r="F339" s="2"/>
    </row>
    <row r="340" spans="1:10" x14ac:dyDescent="0.25">
      <c r="A340" s="5"/>
      <c r="E340" s="2"/>
      <c r="F340" s="2"/>
    </row>
    <row r="341" spans="1:10" x14ac:dyDescent="0.25">
      <c r="A341" s="75" t="s">
        <v>83</v>
      </c>
      <c r="B341" s="75"/>
      <c r="C341" s="75"/>
      <c r="D341" s="75"/>
      <c r="E341" s="75"/>
      <c r="F341" s="75"/>
      <c r="G341" s="16">
        <f>SUM(G2:G340)</f>
        <v>314.78999999999996</v>
      </c>
      <c r="H341" s="16">
        <f>SUM(H2:H340)</f>
        <v>181.8</v>
      </c>
    </row>
    <row r="342" spans="1:10" x14ac:dyDescent="0.25">
      <c r="A342" s="75" t="s">
        <v>57</v>
      </c>
      <c r="B342" s="75"/>
      <c r="C342" s="75"/>
      <c r="D342" s="75"/>
      <c r="E342" s="75"/>
      <c r="F342" s="75"/>
      <c r="G342" s="16">
        <v>200</v>
      </c>
      <c r="H342" s="16">
        <v>300</v>
      </c>
    </row>
    <row r="343" spans="1:10" x14ac:dyDescent="0.25">
      <c r="A343" s="75" t="s">
        <v>84</v>
      </c>
      <c r="B343" s="75"/>
      <c r="C343" s="75"/>
      <c r="D343" s="75"/>
      <c r="E343" s="75"/>
      <c r="F343" s="75"/>
      <c r="G343" s="17">
        <f>G342*G341</f>
        <v>62957.999999999993</v>
      </c>
      <c r="H343" s="18">
        <f>H342*H341</f>
        <v>54540</v>
      </c>
      <c r="J343">
        <v>-500</v>
      </c>
    </row>
    <row r="344" spans="1:10" ht="28.5" x14ac:dyDescent="0.45">
      <c r="A344" s="75" t="s">
        <v>58</v>
      </c>
      <c r="B344" s="75"/>
      <c r="C344" s="75"/>
      <c r="D344" s="75"/>
      <c r="E344" s="75"/>
      <c r="F344" s="75"/>
      <c r="G344" s="80">
        <f>G343+H343</f>
        <v>117498</v>
      </c>
      <c r="H344" s="80"/>
    </row>
    <row r="345" spans="1:10" x14ac:dyDescent="0.25">
      <c r="A345" s="10"/>
      <c r="B345" s="83" t="s">
        <v>60</v>
      </c>
      <c r="C345" s="83"/>
      <c r="D345" s="83"/>
      <c r="E345" s="83"/>
      <c r="F345" s="83"/>
      <c r="G345" s="21"/>
    </row>
    <row r="346" spans="1:10" x14ac:dyDescent="0.25">
      <c r="A346" s="11">
        <v>45109</v>
      </c>
      <c r="B346" s="84" t="s">
        <v>59</v>
      </c>
      <c r="C346" s="84"/>
      <c r="D346" s="84"/>
      <c r="E346" s="84"/>
      <c r="F346" s="84"/>
      <c r="G346" s="85">
        <v>10000</v>
      </c>
      <c r="H346" s="85"/>
    </row>
    <row r="347" spans="1:10" x14ac:dyDescent="0.25">
      <c r="A347" s="11"/>
      <c r="B347" s="86" t="s">
        <v>96</v>
      </c>
      <c r="C347" s="86"/>
      <c r="D347" s="86"/>
      <c r="E347" s="86"/>
      <c r="F347" s="86"/>
      <c r="G347" s="85">
        <v>5000</v>
      </c>
      <c r="H347" s="85"/>
    </row>
    <row r="348" spans="1:10" x14ac:dyDescent="0.25">
      <c r="A348" s="11">
        <v>45278</v>
      </c>
      <c r="B348" s="76" t="s">
        <v>96</v>
      </c>
      <c r="C348" s="76"/>
      <c r="D348" s="76"/>
      <c r="E348" s="76"/>
      <c r="F348" s="76"/>
      <c r="G348" s="85">
        <v>9800</v>
      </c>
      <c r="H348" s="85"/>
    </row>
    <row r="349" spans="1:10" x14ac:dyDescent="0.25">
      <c r="A349" s="11"/>
      <c r="B349" s="76"/>
      <c r="C349" s="76"/>
      <c r="D349" s="76"/>
      <c r="E349" s="76"/>
      <c r="F349" s="76"/>
      <c r="G349" s="85">
        <v>78298</v>
      </c>
      <c r="H349" s="85"/>
    </row>
    <row r="350" spans="1:10" x14ac:dyDescent="0.25">
      <c r="A350" s="11"/>
      <c r="B350" s="76"/>
      <c r="C350" s="76"/>
      <c r="D350" s="76"/>
      <c r="E350" s="76"/>
      <c r="F350" s="76"/>
      <c r="G350" s="85"/>
      <c r="H350" s="85"/>
    </row>
    <row r="351" spans="1:10" x14ac:dyDescent="0.25">
      <c r="A351" s="11"/>
      <c r="B351" s="76"/>
      <c r="C351" s="76"/>
      <c r="D351" s="76"/>
      <c r="E351" s="76"/>
      <c r="F351" s="76"/>
      <c r="G351" s="85"/>
      <c r="H351" s="85"/>
    </row>
    <row r="352" spans="1:10" x14ac:dyDescent="0.25">
      <c r="A352" s="11"/>
      <c r="B352" s="76" t="s">
        <v>62</v>
      </c>
      <c r="C352" s="76"/>
      <c r="D352" s="76"/>
      <c r="E352" s="76"/>
      <c r="F352" s="76"/>
      <c r="G352" s="85">
        <f>SUM(G346:H351)</f>
        <v>103098</v>
      </c>
      <c r="H352" s="85"/>
    </row>
    <row r="353" spans="1:8" ht="31.5" x14ac:dyDescent="0.5">
      <c r="A353" s="81" t="s">
        <v>61</v>
      </c>
      <c r="B353" s="81"/>
      <c r="C353" s="81"/>
      <c r="D353" s="81"/>
      <c r="E353" s="81"/>
      <c r="F353" s="81"/>
      <c r="G353" s="82">
        <f>G344-G352</f>
        <v>14400</v>
      </c>
      <c r="H353" s="82"/>
    </row>
    <row r="354" spans="1:8" x14ac:dyDescent="0.25">
      <c r="A354" s="11"/>
      <c r="B354" s="12"/>
      <c r="C354" s="12"/>
      <c r="D354" s="12"/>
      <c r="E354" s="12"/>
      <c r="F354" s="12"/>
    </row>
    <row r="355" spans="1:8" x14ac:dyDescent="0.25">
      <c r="A355" s="11"/>
      <c r="B355" s="12"/>
      <c r="C355" s="12"/>
      <c r="D355" s="12"/>
      <c r="E355" s="12"/>
      <c r="F355" s="12"/>
    </row>
    <row r="356" spans="1:8" x14ac:dyDescent="0.25">
      <c r="A356" s="11"/>
      <c r="B356" s="12"/>
      <c r="C356" s="12"/>
      <c r="D356" s="12"/>
      <c r="E356" s="12"/>
      <c r="F356" s="12"/>
    </row>
    <row r="357" spans="1:8" x14ac:dyDescent="0.25">
      <c r="A357" s="11"/>
      <c r="B357" s="12"/>
      <c r="C357" s="12"/>
      <c r="D357" s="12"/>
      <c r="E357" s="12"/>
      <c r="F357" s="12"/>
    </row>
    <row r="358" spans="1:8" x14ac:dyDescent="0.25">
      <c r="A358" s="11"/>
      <c r="B358" s="12"/>
      <c r="C358" s="12"/>
      <c r="D358" s="12"/>
      <c r="E358" s="12"/>
      <c r="F358" s="12"/>
    </row>
    <row r="359" spans="1:8" x14ac:dyDescent="0.25">
      <c r="A359" s="11"/>
      <c r="B359" s="12"/>
      <c r="C359" s="12"/>
      <c r="D359" s="12"/>
      <c r="E359" s="12"/>
      <c r="F359" s="12"/>
    </row>
    <row r="360" spans="1:8" x14ac:dyDescent="0.25">
      <c r="A360" s="11"/>
      <c r="B360" s="12"/>
      <c r="C360" s="12"/>
      <c r="D360" s="12"/>
      <c r="E360" s="12"/>
      <c r="F360" s="12"/>
    </row>
    <row r="361" spans="1:8" x14ac:dyDescent="0.25">
      <c r="A361" s="11"/>
      <c r="B361" s="12"/>
      <c r="C361" s="12"/>
      <c r="D361" s="12"/>
      <c r="E361" s="12"/>
      <c r="F361" s="12"/>
    </row>
    <row r="362" spans="1:8" x14ac:dyDescent="0.25">
      <c r="A362" s="11"/>
      <c r="B362" s="12"/>
      <c r="C362" s="12"/>
      <c r="D362" s="12"/>
      <c r="E362" s="12"/>
      <c r="F362" s="12"/>
    </row>
    <row r="363" spans="1:8" x14ac:dyDescent="0.25">
      <c r="A363" s="11"/>
      <c r="B363" s="12"/>
      <c r="C363" s="12"/>
      <c r="D363" s="12"/>
      <c r="E363" s="12"/>
      <c r="F363" s="12"/>
    </row>
    <row r="364" spans="1:8" x14ac:dyDescent="0.25">
      <c r="A364" s="11"/>
      <c r="B364" s="12"/>
      <c r="C364" s="12"/>
      <c r="D364" s="12"/>
      <c r="E364" s="12"/>
      <c r="F364" s="12"/>
    </row>
    <row r="365" spans="1:8" x14ac:dyDescent="0.25">
      <c r="A365" s="11"/>
      <c r="B365" s="12"/>
      <c r="C365" s="12"/>
      <c r="D365" s="12"/>
      <c r="E365" s="12"/>
      <c r="F365" s="12"/>
    </row>
    <row r="366" spans="1:8" x14ac:dyDescent="0.25">
      <c r="A366" s="11"/>
      <c r="B366" s="12"/>
      <c r="C366" s="12"/>
      <c r="D366" s="12"/>
      <c r="E366" s="12"/>
      <c r="F366" s="12"/>
    </row>
    <row r="367" spans="1:8" x14ac:dyDescent="0.25">
      <c r="A367" s="11"/>
      <c r="B367" s="12"/>
      <c r="C367" s="12"/>
      <c r="D367" s="12"/>
      <c r="E367" s="12"/>
      <c r="F367" s="12"/>
    </row>
    <row r="368" spans="1:8" x14ac:dyDescent="0.25">
      <c r="A368" s="11"/>
      <c r="B368" s="12"/>
      <c r="C368" s="12"/>
      <c r="D368" s="12"/>
      <c r="E368" s="12"/>
      <c r="F368" s="12"/>
    </row>
    <row r="369" spans="1:10" x14ac:dyDescent="0.25">
      <c r="A369" s="11"/>
      <c r="B369" s="12"/>
      <c r="C369" s="12"/>
      <c r="D369" s="12"/>
      <c r="E369" s="12"/>
      <c r="F369" s="12"/>
    </row>
    <row r="370" spans="1:10" x14ac:dyDescent="0.25">
      <c r="A370" s="11"/>
      <c r="B370" s="12"/>
      <c r="C370" s="12"/>
      <c r="D370" s="12"/>
      <c r="E370" s="12"/>
      <c r="F370" s="12"/>
    </row>
    <row r="371" spans="1:10" x14ac:dyDescent="0.25">
      <c r="A371" s="11"/>
      <c r="B371" s="12"/>
      <c r="C371" s="12"/>
      <c r="D371" s="12"/>
      <c r="E371" s="12"/>
      <c r="F371" s="12"/>
    </row>
    <row r="372" spans="1:10" x14ac:dyDescent="0.25">
      <c r="A372" s="9"/>
      <c r="B372" s="77" t="s">
        <v>56</v>
      </c>
      <c r="C372" s="77"/>
      <c r="D372" s="77"/>
      <c r="E372" s="77"/>
      <c r="F372" s="77"/>
      <c r="G372" s="20"/>
      <c r="H372" s="20"/>
      <c r="I372" s="7">
        <f>G341+H341</f>
        <v>496.59</v>
      </c>
      <c r="J372" s="7">
        <f>I372</f>
        <v>496.59</v>
      </c>
    </row>
    <row r="373" spans="1:10" x14ac:dyDescent="0.25">
      <c r="A373" s="5"/>
      <c r="B373" s="78" t="s">
        <v>57</v>
      </c>
      <c r="C373" s="78"/>
      <c r="D373" s="78"/>
      <c r="E373" s="78"/>
      <c r="F373" s="78"/>
      <c r="I373" s="7">
        <v>300</v>
      </c>
      <c r="J373" s="7">
        <v>200</v>
      </c>
    </row>
    <row r="374" spans="1:10" ht="18.75" x14ac:dyDescent="0.3">
      <c r="A374" s="5"/>
      <c r="B374" s="78" t="s">
        <v>58</v>
      </c>
      <c r="C374" s="78"/>
      <c r="D374" s="78"/>
      <c r="E374" s="78"/>
      <c r="F374" s="78"/>
      <c r="I374" s="8">
        <f>I373*I372</f>
        <v>148977</v>
      </c>
      <c r="J374" s="8">
        <f>J373*J372</f>
        <v>99318</v>
      </c>
    </row>
    <row r="375" spans="1:10" x14ac:dyDescent="0.25">
      <c r="A375" s="22"/>
      <c r="B375" s="79" t="s">
        <v>60</v>
      </c>
      <c r="C375" s="79"/>
      <c r="D375" s="79"/>
      <c r="E375" s="79"/>
      <c r="F375" s="79"/>
      <c r="G375" s="23"/>
      <c r="H375" s="23"/>
      <c r="I375" s="24"/>
      <c r="J375" s="24"/>
    </row>
    <row r="376" spans="1:10" x14ac:dyDescent="0.25">
      <c r="A376" s="25">
        <v>45109</v>
      </c>
      <c r="B376" s="73" t="s">
        <v>59</v>
      </c>
      <c r="C376" s="73"/>
      <c r="D376" s="73"/>
      <c r="E376" s="73"/>
      <c r="F376" s="73"/>
      <c r="G376" s="26"/>
      <c r="H376" s="26"/>
      <c r="I376" s="27">
        <v>10000</v>
      </c>
      <c r="J376" s="27">
        <v>10000</v>
      </c>
    </row>
    <row r="377" spans="1:10" x14ac:dyDescent="0.25">
      <c r="A377" s="25"/>
      <c r="B377" s="28"/>
      <c r="C377" s="28"/>
      <c r="D377" s="28"/>
      <c r="E377" s="28"/>
      <c r="F377" s="28"/>
      <c r="G377" s="26"/>
      <c r="H377" s="26"/>
      <c r="I377" s="29"/>
      <c r="J377" s="29"/>
    </row>
    <row r="378" spans="1:10" x14ac:dyDescent="0.25">
      <c r="A378" s="25"/>
      <c r="B378" s="28"/>
      <c r="C378" s="28"/>
      <c r="D378" s="28"/>
      <c r="E378" s="28"/>
      <c r="F378" s="28"/>
      <c r="G378" s="26"/>
      <c r="H378" s="26"/>
      <c r="I378" s="29"/>
      <c r="J378" s="29"/>
    </row>
    <row r="379" spans="1:10" ht="28.5" x14ac:dyDescent="0.45">
      <c r="A379" s="25"/>
      <c r="B379" s="74" t="s">
        <v>62</v>
      </c>
      <c r="C379" s="74"/>
      <c r="D379" s="74"/>
      <c r="E379" s="74"/>
      <c r="F379" s="74"/>
      <c r="G379" s="26"/>
      <c r="H379" s="26"/>
      <c r="I379" s="30">
        <f>SUM(I376:I378)</f>
        <v>10000</v>
      </c>
      <c r="J379" s="30">
        <f>SUM(J376:J378)</f>
        <v>10000</v>
      </c>
    </row>
    <row r="380" spans="1:10" ht="33.75" x14ac:dyDescent="0.5">
      <c r="A380" s="31">
        <v>45109</v>
      </c>
      <c r="B380" s="72" t="s">
        <v>61</v>
      </c>
      <c r="C380" s="72"/>
      <c r="D380" s="72"/>
      <c r="E380" s="72"/>
      <c r="F380" s="72"/>
      <c r="G380" s="32"/>
      <c r="H380" s="32"/>
      <c r="I380" s="33">
        <f>I374-I379</f>
        <v>138977</v>
      </c>
      <c r="J380" s="33">
        <f>J374-J379</f>
        <v>89318</v>
      </c>
    </row>
  </sheetData>
  <mergeCells count="29">
    <mergeCell ref="G344:H344"/>
    <mergeCell ref="A353:F353"/>
    <mergeCell ref="G353:H353"/>
    <mergeCell ref="B345:F345"/>
    <mergeCell ref="B346:F346"/>
    <mergeCell ref="B352:F352"/>
    <mergeCell ref="G346:H346"/>
    <mergeCell ref="G347:H347"/>
    <mergeCell ref="G352:H352"/>
    <mergeCell ref="G349:H349"/>
    <mergeCell ref="G350:H350"/>
    <mergeCell ref="G351:H351"/>
    <mergeCell ref="G348:H348"/>
    <mergeCell ref="B348:F348"/>
    <mergeCell ref="B347:F347"/>
    <mergeCell ref="B349:F349"/>
    <mergeCell ref="B380:F380"/>
    <mergeCell ref="B376:F376"/>
    <mergeCell ref="B379:F379"/>
    <mergeCell ref="A342:F342"/>
    <mergeCell ref="A341:F341"/>
    <mergeCell ref="A343:F343"/>
    <mergeCell ref="A344:F344"/>
    <mergeCell ref="B350:F350"/>
    <mergeCell ref="B351:F351"/>
    <mergeCell ref="B372:F372"/>
    <mergeCell ref="B373:F373"/>
    <mergeCell ref="B374:F374"/>
    <mergeCell ref="B375:F375"/>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9" workbookViewId="0">
      <selection activeCell="B58" sqref="B58"/>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98"/>
  <sheetViews>
    <sheetView topLeftCell="A60" zoomScaleNormal="100" workbookViewId="0">
      <selection activeCell="F72" sqref="F72"/>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ht="45" x14ac:dyDescent="0.25">
      <c r="A39" s="48"/>
      <c r="B39" s="66" t="s">
        <v>311</v>
      </c>
      <c r="C39" s="89">
        <v>4800</v>
      </c>
    </row>
    <row r="40" spans="1:4" x14ac:dyDescent="0.25">
      <c r="A40" s="48"/>
      <c r="B40" s="67" t="s">
        <v>312</v>
      </c>
      <c r="C40" s="90"/>
    </row>
    <row r="41" spans="1:4" ht="45" x14ac:dyDescent="0.25">
      <c r="A41" s="48"/>
      <c r="B41" s="67" t="s">
        <v>313</v>
      </c>
      <c r="C41" s="90"/>
    </row>
    <row r="42" spans="1:4" ht="30" x14ac:dyDescent="0.25">
      <c r="A42" s="48"/>
      <c r="B42" s="67" t="s">
        <v>314</v>
      </c>
      <c r="C42" s="90"/>
    </row>
    <row r="43" spans="1:4" ht="30" x14ac:dyDescent="0.25">
      <c r="A43" s="48"/>
      <c r="B43" s="67" t="s">
        <v>316</v>
      </c>
      <c r="C43" s="90"/>
    </row>
    <row r="44" spans="1:4" ht="30" x14ac:dyDescent="0.25">
      <c r="A44" s="48"/>
      <c r="B44" s="67" t="s">
        <v>315</v>
      </c>
      <c r="C44" s="90"/>
    </row>
    <row r="45" spans="1:4" ht="30.75" thickBot="1" x14ac:dyDescent="0.3">
      <c r="A45" s="48"/>
      <c r="B45" s="68" t="s">
        <v>317</v>
      </c>
      <c r="C45" s="91"/>
    </row>
    <row r="46" spans="1:4" ht="45" x14ac:dyDescent="0.25">
      <c r="A46" s="48"/>
      <c r="B46" s="66" t="s">
        <v>329</v>
      </c>
      <c r="C46" s="87">
        <v>7500</v>
      </c>
    </row>
    <row r="47" spans="1:4" ht="30" x14ac:dyDescent="0.25">
      <c r="A47" s="48"/>
      <c r="B47" s="67" t="s">
        <v>319</v>
      </c>
      <c r="C47" s="92"/>
    </row>
    <row r="48" spans="1:4" x14ac:dyDescent="0.25">
      <c r="A48" s="48"/>
      <c r="B48" s="67" t="s">
        <v>321</v>
      </c>
      <c r="C48" s="92"/>
    </row>
    <row r="49" spans="1:3" x14ac:dyDescent="0.25">
      <c r="A49" s="48"/>
      <c r="B49" s="67" t="s">
        <v>318</v>
      </c>
      <c r="C49" s="92"/>
    </row>
    <row r="50" spans="1:3" ht="30" x14ac:dyDescent="0.25">
      <c r="A50" s="48"/>
      <c r="B50" s="67" t="s">
        <v>320</v>
      </c>
      <c r="C50" s="92"/>
    </row>
    <row r="51" spans="1:3" x14ac:dyDescent="0.25">
      <c r="A51" s="48"/>
      <c r="B51" s="67" t="s">
        <v>322</v>
      </c>
      <c r="C51" s="92"/>
    </row>
    <row r="52" spans="1:3" x14ac:dyDescent="0.25">
      <c r="A52" s="48"/>
      <c r="B52" s="67" t="s">
        <v>323</v>
      </c>
      <c r="C52" s="92"/>
    </row>
    <row r="53" spans="1:3" x14ac:dyDescent="0.25">
      <c r="A53" s="48"/>
      <c r="B53" s="67" t="s">
        <v>324</v>
      </c>
      <c r="C53" s="92"/>
    </row>
    <row r="54" spans="1:3" x14ac:dyDescent="0.25">
      <c r="A54" s="48"/>
      <c r="B54" s="67" t="s">
        <v>325</v>
      </c>
      <c r="C54" s="92"/>
    </row>
    <row r="55" spans="1:3" x14ac:dyDescent="0.25">
      <c r="A55" s="48"/>
      <c r="B55" s="67" t="s">
        <v>326</v>
      </c>
      <c r="C55" s="92"/>
    </row>
    <row r="56" spans="1:3" ht="30" x14ac:dyDescent="0.25">
      <c r="A56" s="48"/>
      <c r="B56" s="67" t="s">
        <v>327</v>
      </c>
      <c r="C56" s="92"/>
    </row>
    <row r="57" spans="1:3" ht="15.75" thickBot="1" x14ac:dyDescent="0.3">
      <c r="A57" s="48"/>
      <c r="B57" s="68" t="s">
        <v>328</v>
      </c>
      <c r="C57" s="88"/>
    </row>
    <row r="58" spans="1:3" x14ac:dyDescent="0.25">
      <c r="A58" s="48"/>
      <c r="B58" s="66" t="s">
        <v>330</v>
      </c>
      <c r="C58" s="87">
        <v>5250</v>
      </c>
    </row>
    <row r="59" spans="1:3" x14ac:dyDescent="0.25">
      <c r="A59" s="48"/>
      <c r="B59" s="67" t="s">
        <v>331</v>
      </c>
      <c r="C59" s="92"/>
    </row>
    <row r="60" spans="1:3" ht="30" x14ac:dyDescent="0.25">
      <c r="A60" s="48"/>
      <c r="B60" s="67" t="s">
        <v>333</v>
      </c>
      <c r="C60" s="92"/>
    </row>
    <row r="61" spans="1:3" ht="30" x14ac:dyDescent="0.25">
      <c r="A61" s="48"/>
      <c r="B61" s="67" t="s">
        <v>334</v>
      </c>
      <c r="C61" s="92"/>
    </row>
    <row r="62" spans="1:3" x14ac:dyDescent="0.25">
      <c r="A62" s="48"/>
      <c r="B62" s="67" t="s">
        <v>332</v>
      </c>
      <c r="C62" s="92"/>
    </row>
    <row r="63" spans="1:3" ht="30" x14ac:dyDescent="0.25">
      <c r="A63" s="48"/>
      <c r="B63" s="67" t="s">
        <v>335</v>
      </c>
      <c r="C63" s="92"/>
    </row>
    <row r="64" spans="1:3" ht="30" x14ac:dyDescent="0.25">
      <c r="A64" s="48"/>
      <c r="B64" s="67" t="s">
        <v>336</v>
      </c>
      <c r="C64" s="92"/>
    </row>
    <row r="65" spans="1:3" ht="30" x14ac:dyDescent="0.25">
      <c r="A65" s="48"/>
      <c r="B65" s="67" t="s">
        <v>337</v>
      </c>
      <c r="C65" s="92"/>
    </row>
    <row r="66" spans="1:3" ht="30" x14ac:dyDescent="0.25">
      <c r="A66" s="48"/>
      <c r="B66" s="67" t="s">
        <v>338</v>
      </c>
      <c r="C66" s="92"/>
    </row>
    <row r="67" spans="1:3" ht="30" x14ac:dyDescent="0.25">
      <c r="A67" s="48"/>
      <c r="B67" s="67" t="s">
        <v>339</v>
      </c>
      <c r="C67" s="92"/>
    </row>
    <row r="68" spans="1:3" ht="30" x14ac:dyDescent="0.25">
      <c r="A68" s="48"/>
      <c r="B68" s="67" t="s">
        <v>340</v>
      </c>
      <c r="C68" s="92"/>
    </row>
    <row r="69" spans="1:3" ht="30" x14ac:dyDescent="0.25">
      <c r="A69" s="48"/>
      <c r="B69" s="67" t="s">
        <v>341</v>
      </c>
      <c r="C69" s="92"/>
    </row>
    <row r="70" spans="1:3" ht="45.75" thickBot="1" x14ac:dyDescent="0.3">
      <c r="A70" s="48"/>
      <c r="B70" s="68" t="s">
        <v>342</v>
      </c>
      <c r="C70" s="88"/>
    </row>
    <row r="71" spans="1:3" x14ac:dyDescent="0.25">
      <c r="A71" s="48"/>
      <c r="B71" s="62"/>
      <c r="C71" s="63"/>
    </row>
    <row r="72" spans="1:3" x14ac:dyDescent="0.25">
      <c r="A72" s="48"/>
      <c r="B72" s="62"/>
      <c r="C72" s="63"/>
    </row>
    <row r="73" spans="1:3" s="42" customFormat="1" x14ac:dyDescent="0.25">
      <c r="A73" s="51"/>
      <c r="B73" s="52"/>
      <c r="C73" s="53"/>
    </row>
    <row r="74" spans="1:3" x14ac:dyDescent="0.25">
      <c r="A74" s="43"/>
      <c r="B74" s="43" t="s">
        <v>247</v>
      </c>
      <c r="C74" s="46">
        <f>SUM(C2:C73)</f>
        <v>38150</v>
      </c>
    </row>
    <row r="75" spans="1:3" hidden="1" x14ac:dyDescent="0.25">
      <c r="B75" t="s">
        <v>38</v>
      </c>
    </row>
    <row r="76" spans="1:3" hidden="1" x14ac:dyDescent="0.25">
      <c r="A76" s="55">
        <v>45690</v>
      </c>
      <c r="B76" s="48" t="s">
        <v>38</v>
      </c>
      <c r="C76" s="54">
        <v>2300</v>
      </c>
    </row>
    <row r="77" spans="1:3" hidden="1" x14ac:dyDescent="0.25">
      <c r="A77" s="55"/>
      <c r="B77" s="48" t="s">
        <v>38</v>
      </c>
      <c r="C77" s="54">
        <v>2250</v>
      </c>
    </row>
    <row r="78" spans="1:3" hidden="1" x14ac:dyDescent="0.25">
      <c r="A78" s="55">
        <v>45804</v>
      </c>
      <c r="B78" s="48" t="s">
        <v>278</v>
      </c>
      <c r="C78" s="54">
        <v>2700</v>
      </c>
    </row>
    <row r="79" spans="1:3" hidden="1" x14ac:dyDescent="0.25">
      <c r="A79" s="55">
        <v>45839</v>
      </c>
      <c r="B79" s="48" t="s">
        <v>278</v>
      </c>
      <c r="C79" s="54">
        <v>4200</v>
      </c>
    </row>
    <row r="80" spans="1:3" hidden="1" x14ac:dyDescent="0.25">
      <c r="A80" s="55"/>
      <c r="B80" s="48"/>
      <c r="C80" s="54">
        <v>4500</v>
      </c>
    </row>
    <row r="81" spans="1:3" x14ac:dyDescent="0.25">
      <c r="A81" s="55">
        <v>46266</v>
      </c>
      <c r="B81" s="48" t="s">
        <v>249</v>
      </c>
      <c r="C81" s="54">
        <v>2100</v>
      </c>
    </row>
    <row r="82" spans="1:3" x14ac:dyDescent="0.25">
      <c r="A82" s="55"/>
      <c r="B82" s="48" t="s">
        <v>249</v>
      </c>
      <c r="C82" s="54">
        <v>2550</v>
      </c>
    </row>
    <row r="83" spans="1:3" x14ac:dyDescent="0.25">
      <c r="A83" s="55">
        <v>46073</v>
      </c>
      <c r="B83" s="48" t="s">
        <v>249</v>
      </c>
      <c r="C83" s="54">
        <v>4800</v>
      </c>
    </row>
    <row r="84" spans="1:3" x14ac:dyDescent="0.25">
      <c r="A84" s="55">
        <v>46089</v>
      </c>
      <c r="B84" s="48" t="s">
        <v>249</v>
      </c>
      <c r="C84" s="54">
        <v>6000</v>
      </c>
    </row>
    <row r="85" spans="1:3" x14ac:dyDescent="0.25">
      <c r="A85" s="55"/>
      <c r="B85" s="48"/>
      <c r="C85" s="54"/>
    </row>
    <row r="86" spans="1:3" x14ac:dyDescent="0.25">
      <c r="A86" s="48"/>
      <c r="B86" s="48"/>
      <c r="C86" s="54"/>
    </row>
    <row r="87" spans="1:3" x14ac:dyDescent="0.25">
      <c r="A87" s="43"/>
      <c r="B87" s="43" t="s">
        <v>252</v>
      </c>
      <c r="C87" s="46">
        <f>SUM(C75:C86)</f>
        <v>31400</v>
      </c>
    </row>
    <row r="88" spans="1:3" x14ac:dyDescent="0.25">
      <c r="A88" s="6"/>
      <c r="B88" s="6" t="s">
        <v>253</v>
      </c>
      <c r="C88" s="47">
        <f>C74-C87</f>
        <v>6750</v>
      </c>
    </row>
    <row r="92" spans="1:3" ht="45" x14ac:dyDescent="0.25">
      <c r="B92" s="13" t="s">
        <v>311</v>
      </c>
    </row>
    <row r="93" spans="1:3" x14ac:dyDescent="0.25">
      <c r="B93" s="13" t="s">
        <v>312</v>
      </c>
    </row>
    <row r="94" spans="1:3" ht="45" x14ac:dyDescent="0.25">
      <c r="B94" s="13" t="s">
        <v>313</v>
      </c>
    </row>
    <row r="95" spans="1:3" ht="30" x14ac:dyDescent="0.25">
      <c r="B95" s="13" t="s">
        <v>314</v>
      </c>
    </row>
    <row r="96" spans="1:3" ht="30" x14ac:dyDescent="0.25">
      <c r="B96" s="13" t="s">
        <v>316</v>
      </c>
    </row>
    <row r="97" spans="2:2" ht="30" x14ac:dyDescent="0.25">
      <c r="B97" s="13" t="s">
        <v>315</v>
      </c>
    </row>
    <row r="98" spans="2:2" ht="30" x14ac:dyDescent="0.25">
      <c r="B98" s="13" t="s">
        <v>317</v>
      </c>
    </row>
  </sheetData>
  <mergeCells count="13">
    <mergeCell ref="C58:C70"/>
    <mergeCell ref="C46:C57"/>
    <mergeCell ref="C39:C45"/>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2026-03-10T00:40:31Z</dcterms:modified>
</cp:coreProperties>
</file>