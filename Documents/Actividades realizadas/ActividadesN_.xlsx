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D0936E55-09A4-4D39-8B25-F631DAF9C565}"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7" i="7" l="1"/>
  <c r="C39" i="7"/>
  <c r="C81" i="5"/>
  <c r="C59" i="5"/>
  <c r="C48" i="7" l="1"/>
  <c r="C82" i="5"/>
  <c r="G310" i="1"/>
  <c r="H299" i="1"/>
  <c r="H301" i="1" s="1"/>
  <c r="G299" i="1"/>
  <c r="G301" i="1" s="1"/>
  <c r="J337" i="1"/>
  <c r="I337" i="1"/>
  <c r="G302" i="1" l="1"/>
  <c r="G311" i="1" s="1"/>
  <c r="I330" i="1"/>
  <c r="I332" i="1" s="1"/>
  <c r="I338" i="1" s="1"/>
  <c r="J330" i="1" l="1"/>
  <c r="J332" i="1" s="1"/>
  <c r="J338" i="1" s="1"/>
</calcChain>
</file>

<file path=xl/sharedStrings.xml><?xml version="1.0" encoding="utf-8"?>
<sst xmlns="http://schemas.openxmlformats.org/spreadsheetml/2006/main" count="725" uniqueCount="306">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</sst>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2">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2"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38"/>
  <sheetViews>
    <sheetView tabSelected="1" topLeftCell="B1" workbookViewId="0">
      <pane ySplit="1" topLeftCell="A288" activePane="bottomLeft" state="frozen"/>
      <selection pane="bottomLeft" activeCell="J302" sqref="J302"/>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10" x14ac:dyDescent="0.25">
      <c r="A289" s="5"/>
      <c r="C289" s="9">
        <v>45872</v>
      </c>
      <c r="D289" s="13" t="s">
        <v>294</v>
      </c>
      <c r="E289" s="2">
        <v>0.34027777777777779</v>
      </c>
      <c r="F289" s="2">
        <v>0.42708333333333331</v>
      </c>
      <c r="H289" s="20">
        <v>2</v>
      </c>
    </row>
    <row r="290" spans="1:10" x14ac:dyDescent="0.25">
      <c r="A290" s="5"/>
      <c r="C290" s="9">
        <v>45872</v>
      </c>
      <c r="D290" s="13" t="s">
        <v>295</v>
      </c>
      <c r="E290" s="2">
        <v>0.42708333333333331</v>
      </c>
      <c r="F290" s="2">
        <v>0.47222222222222221</v>
      </c>
      <c r="H290" s="20">
        <v>1</v>
      </c>
    </row>
    <row r="291" spans="1:10" x14ac:dyDescent="0.25">
      <c r="A291" s="5"/>
      <c r="C291" s="9">
        <v>45939</v>
      </c>
      <c r="D291" s="13" t="s">
        <v>297</v>
      </c>
      <c r="E291" s="2">
        <v>0.75694444444444442</v>
      </c>
      <c r="F291" s="2">
        <v>0.41666666666666669</v>
      </c>
      <c r="H291" s="20">
        <v>2</v>
      </c>
    </row>
    <row r="292" spans="1:10" x14ac:dyDescent="0.25">
      <c r="A292" s="5"/>
      <c r="C292" s="9">
        <v>45941</v>
      </c>
      <c r="D292" s="13" t="s">
        <v>302</v>
      </c>
      <c r="E292" s="2">
        <v>0.45763888888888887</v>
      </c>
      <c r="F292" s="2">
        <v>0.58333333333333337</v>
      </c>
      <c r="H292" s="20">
        <v>3</v>
      </c>
    </row>
    <row r="293" spans="1:10" x14ac:dyDescent="0.25">
      <c r="A293" s="5"/>
      <c r="C293" s="9">
        <v>45941</v>
      </c>
      <c r="D293" s="13" t="s">
        <v>302</v>
      </c>
      <c r="E293" s="2">
        <v>0.60416666666666663</v>
      </c>
      <c r="F293" s="2">
        <v>0.63194444444444442</v>
      </c>
      <c r="H293" s="20">
        <v>0.5</v>
      </c>
    </row>
    <row r="294" spans="1:10" ht="30" x14ac:dyDescent="0.25">
      <c r="A294" s="5"/>
      <c r="C294" s="9">
        <v>45942</v>
      </c>
      <c r="D294" s="13" t="s">
        <v>303</v>
      </c>
      <c r="E294" s="2">
        <v>0.71527777777777779</v>
      </c>
      <c r="F294" s="2">
        <v>0.73958333333333337</v>
      </c>
      <c r="H294" s="20">
        <v>0.5</v>
      </c>
    </row>
    <row r="295" spans="1:10" ht="45" x14ac:dyDescent="0.25">
      <c r="A295" s="5"/>
      <c r="C295" s="9">
        <v>45663</v>
      </c>
      <c r="D295" s="13" t="s">
        <v>304</v>
      </c>
      <c r="E295" s="2">
        <v>0.3611111111111111</v>
      </c>
      <c r="F295" s="2">
        <v>0.49652777777777779</v>
      </c>
      <c r="H295" s="20">
        <v>3</v>
      </c>
    </row>
    <row r="296" spans="1:10" x14ac:dyDescent="0.25">
      <c r="A296" s="5"/>
      <c r="C296" s="61"/>
      <c r="D296" s="13" t="s">
        <v>305</v>
      </c>
      <c r="E296" s="2">
        <v>0.67361111111111116</v>
      </c>
      <c r="F296" s="2">
        <v>0.76041666666666663</v>
      </c>
      <c r="H296" s="14">
        <v>2</v>
      </c>
    </row>
    <row r="297" spans="1:10" x14ac:dyDescent="0.25">
      <c r="A297" s="5"/>
      <c r="C297" s="61"/>
      <c r="D297" s="13"/>
      <c r="E297" s="2"/>
      <c r="F297" s="2"/>
    </row>
    <row r="298" spans="1:10" x14ac:dyDescent="0.25">
      <c r="A298" s="5"/>
      <c r="E298" s="2"/>
      <c r="F298" s="2"/>
    </row>
    <row r="299" spans="1:10" x14ac:dyDescent="0.25">
      <c r="A299" s="73" t="s">
        <v>83</v>
      </c>
      <c r="B299" s="73"/>
      <c r="C299" s="73"/>
      <c r="D299" s="73"/>
      <c r="E299" s="73"/>
      <c r="F299" s="73"/>
      <c r="G299" s="16">
        <f>SUM(G2:G298)</f>
        <v>314.78999999999996</v>
      </c>
      <c r="H299" s="16">
        <f>SUM(H2:H298)</f>
        <v>111.3</v>
      </c>
    </row>
    <row r="300" spans="1:10" x14ac:dyDescent="0.25">
      <c r="A300" s="73" t="s">
        <v>57</v>
      </c>
      <c r="B300" s="73"/>
      <c r="C300" s="73"/>
      <c r="D300" s="73"/>
      <c r="E300" s="73"/>
      <c r="F300" s="73"/>
      <c r="G300" s="16">
        <v>200</v>
      </c>
      <c r="H300" s="16">
        <v>300</v>
      </c>
    </row>
    <row r="301" spans="1:10" x14ac:dyDescent="0.25">
      <c r="A301" s="73" t="s">
        <v>84</v>
      </c>
      <c r="B301" s="73"/>
      <c r="C301" s="73"/>
      <c r="D301" s="73"/>
      <c r="E301" s="73"/>
      <c r="F301" s="73"/>
      <c r="G301" s="17">
        <f>G300*G299</f>
        <v>62957.999999999993</v>
      </c>
      <c r="H301" s="18">
        <f>H300*H299</f>
        <v>33390</v>
      </c>
      <c r="J301">
        <v>-500</v>
      </c>
    </row>
    <row r="302" spans="1:10" ht="28.5" x14ac:dyDescent="0.45">
      <c r="A302" s="73" t="s">
        <v>58</v>
      </c>
      <c r="B302" s="73"/>
      <c r="C302" s="73"/>
      <c r="D302" s="73"/>
      <c r="E302" s="73"/>
      <c r="F302" s="73"/>
      <c r="G302" s="78">
        <f>G301+H301</f>
        <v>96348</v>
      </c>
      <c r="H302" s="78"/>
    </row>
    <row r="303" spans="1:10" x14ac:dyDescent="0.25">
      <c r="A303" s="10"/>
      <c r="B303" s="81" t="s">
        <v>60</v>
      </c>
      <c r="C303" s="81"/>
      <c r="D303" s="81"/>
      <c r="E303" s="81"/>
      <c r="F303" s="81"/>
      <c r="G303" s="21"/>
    </row>
    <row r="304" spans="1:10" x14ac:dyDescent="0.25">
      <c r="A304" s="11">
        <v>45109</v>
      </c>
      <c r="B304" s="82" t="s">
        <v>59</v>
      </c>
      <c r="C304" s="82"/>
      <c r="D304" s="82"/>
      <c r="E304" s="82"/>
      <c r="F304" s="82"/>
      <c r="G304" s="83">
        <v>10000</v>
      </c>
      <c r="H304" s="83"/>
    </row>
    <row r="305" spans="1:8" x14ac:dyDescent="0.25">
      <c r="A305" s="11"/>
      <c r="B305" s="85" t="s">
        <v>96</v>
      </c>
      <c r="C305" s="85"/>
      <c r="D305" s="85"/>
      <c r="E305" s="85"/>
      <c r="F305" s="85"/>
      <c r="G305" s="83">
        <v>5000</v>
      </c>
      <c r="H305" s="83"/>
    </row>
    <row r="306" spans="1:8" x14ac:dyDescent="0.25">
      <c r="A306" s="11">
        <v>45278</v>
      </c>
      <c r="B306" s="74" t="s">
        <v>96</v>
      </c>
      <c r="C306" s="74"/>
      <c r="D306" s="74"/>
      <c r="E306" s="74"/>
      <c r="F306" s="74"/>
      <c r="G306" s="83">
        <v>9800</v>
      </c>
      <c r="H306" s="83"/>
    </row>
    <row r="307" spans="1:8" x14ac:dyDescent="0.25">
      <c r="A307" s="11"/>
      <c r="B307" s="74"/>
      <c r="C307" s="74"/>
      <c r="D307" s="74"/>
      <c r="E307" s="74"/>
      <c r="F307" s="74"/>
      <c r="G307" s="84"/>
      <c r="H307" s="84"/>
    </row>
    <row r="308" spans="1:8" x14ac:dyDescent="0.25">
      <c r="A308" s="11"/>
      <c r="B308" s="74"/>
      <c r="C308" s="74"/>
      <c r="D308" s="74"/>
      <c r="E308" s="74"/>
      <c r="F308" s="74"/>
      <c r="G308" s="84"/>
      <c r="H308" s="84"/>
    </row>
    <row r="309" spans="1:8" x14ac:dyDescent="0.25">
      <c r="A309" s="11"/>
      <c r="B309" s="74"/>
      <c r="C309" s="74"/>
      <c r="D309" s="74"/>
      <c r="E309" s="74"/>
      <c r="F309" s="74"/>
      <c r="G309" s="84"/>
      <c r="H309" s="84"/>
    </row>
    <row r="310" spans="1:8" x14ac:dyDescent="0.25">
      <c r="A310" s="11"/>
      <c r="B310" s="74" t="s">
        <v>62</v>
      </c>
      <c r="C310" s="74"/>
      <c r="D310" s="74"/>
      <c r="E310" s="74"/>
      <c r="F310" s="74"/>
      <c r="G310" s="83">
        <f>SUM(G304:H309)</f>
        <v>24800</v>
      </c>
      <c r="H310" s="83"/>
    </row>
    <row r="311" spans="1:8" ht="31.5" x14ac:dyDescent="0.5">
      <c r="A311" s="79" t="s">
        <v>61</v>
      </c>
      <c r="B311" s="79"/>
      <c r="C311" s="79"/>
      <c r="D311" s="79"/>
      <c r="E311" s="79"/>
      <c r="F311" s="79"/>
      <c r="G311" s="80">
        <f>G302-G310</f>
        <v>71548</v>
      </c>
      <c r="H311" s="80"/>
    </row>
    <row r="312" spans="1:8" x14ac:dyDescent="0.25">
      <c r="A312" s="11"/>
      <c r="B312" s="12"/>
      <c r="C312" s="12"/>
      <c r="D312" s="12"/>
      <c r="E312" s="12"/>
      <c r="F312" s="12"/>
    </row>
    <row r="313" spans="1:8" x14ac:dyDescent="0.25">
      <c r="A313" s="11"/>
      <c r="B313" s="12"/>
      <c r="C313" s="12"/>
      <c r="D313" s="12"/>
      <c r="E313" s="12"/>
      <c r="F313" s="12"/>
    </row>
    <row r="314" spans="1:8" x14ac:dyDescent="0.25">
      <c r="A314" s="11"/>
      <c r="B314" s="12"/>
      <c r="C314" s="12"/>
      <c r="D314" s="12"/>
      <c r="E314" s="12"/>
      <c r="F314" s="12"/>
    </row>
    <row r="315" spans="1:8" x14ac:dyDescent="0.25">
      <c r="A315" s="11"/>
      <c r="B315" s="12"/>
      <c r="C315" s="12"/>
      <c r="D315" s="12"/>
      <c r="E315" s="12"/>
      <c r="F315" s="12"/>
    </row>
    <row r="316" spans="1:8" x14ac:dyDescent="0.25">
      <c r="A316" s="11"/>
      <c r="B316" s="12"/>
      <c r="C316" s="12"/>
      <c r="D316" s="12"/>
      <c r="E316" s="12"/>
      <c r="F316" s="12"/>
    </row>
    <row r="317" spans="1:8" x14ac:dyDescent="0.25">
      <c r="A317" s="11"/>
      <c r="B317" s="12"/>
      <c r="C317" s="12"/>
      <c r="D317" s="12"/>
      <c r="E317" s="12"/>
      <c r="F317" s="12"/>
    </row>
    <row r="318" spans="1:8" x14ac:dyDescent="0.25">
      <c r="A318" s="11"/>
      <c r="B318" s="12"/>
      <c r="C318" s="12"/>
      <c r="D318" s="12"/>
      <c r="E318" s="12"/>
      <c r="F318" s="12"/>
    </row>
    <row r="319" spans="1:8" x14ac:dyDescent="0.25">
      <c r="A319" s="11"/>
      <c r="B319" s="12"/>
      <c r="C319" s="12"/>
      <c r="D319" s="12"/>
      <c r="E319" s="12"/>
      <c r="F319" s="12"/>
    </row>
    <row r="320" spans="1:8" x14ac:dyDescent="0.25">
      <c r="A320" s="11"/>
      <c r="B320" s="12"/>
      <c r="C320" s="12"/>
      <c r="D320" s="12"/>
      <c r="E320" s="12"/>
      <c r="F320" s="12"/>
    </row>
    <row r="321" spans="1:10" x14ac:dyDescent="0.25">
      <c r="A321" s="11"/>
      <c r="B321" s="12"/>
      <c r="C321" s="12"/>
      <c r="D321" s="12"/>
      <c r="E321" s="12"/>
      <c r="F321" s="12"/>
    </row>
    <row r="322" spans="1:10" x14ac:dyDescent="0.25">
      <c r="A322" s="11"/>
      <c r="B322" s="12"/>
      <c r="C322" s="12"/>
      <c r="D322" s="12"/>
      <c r="E322" s="12"/>
      <c r="F322" s="12"/>
    </row>
    <row r="323" spans="1:10" x14ac:dyDescent="0.25">
      <c r="A323" s="11"/>
      <c r="B323" s="12"/>
      <c r="C323" s="12"/>
      <c r="D323" s="12"/>
      <c r="E323" s="12"/>
      <c r="F323" s="12"/>
    </row>
    <row r="324" spans="1:10" x14ac:dyDescent="0.25">
      <c r="A324" s="11"/>
      <c r="B324" s="12"/>
      <c r="C324" s="12"/>
      <c r="D324" s="12"/>
      <c r="E324" s="12"/>
      <c r="F324" s="12"/>
    </row>
    <row r="325" spans="1:10" x14ac:dyDescent="0.25">
      <c r="A325" s="11"/>
      <c r="B325" s="12"/>
      <c r="C325" s="12"/>
      <c r="D325" s="12"/>
      <c r="E325" s="12"/>
      <c r="F325" s="12"/>
    </row>
    <row r="326" spans="1:10" x14ac:dyDescent="0.25">
      <c r="A326" s="11"/>
      <c r="B326" s="12"/>
      <c r="C326" s="12"/>
      <c r="D326" s="12"/>
      <c r="E326" s="12"/>
      <c r="F326" s="12"/>
    </row>
    <row r="327" spans="1:10" x14ac:dyDescent="0.25">
      <c r="A327" s="11"/>
      <c r="B327" s="12"/>
      <c r="C327" s="12"/>
      <c r="D327" s="12"/>
      <c r="E327" s="12"/>
      <c r="F327" s="12"/>
    </row>
    <row r="328" spans="1:10" x14ac:dyDescent="0.25">
      <c r="A328" s="11"/>
      <c r="B328" s="12"/>
      <c r="C328" s="12"/>
      <c r="D328" s="12"/>
      <c r="E328" s="12"/>
      <c r="F328" s="12"/>
    </row>
    <row r="329" spans="1:10" x14ac:dyDescent="0.25">
      <c r="A329" s="11"/>
      <c r="B329" s="12"/>
      <c r="C329" s="12"/>
      <c r="D329" s="12"/>
      <c r="E329" s="12"/>
      <c r="F329" s="12"/>
    </row>
    <row r="330" spans="1:10" x14ac:dyDescent="0.25">
      <c r="A330" s="9"/>
      <c r="B330" s="75" t="s">
        <v>56</v>
      </c>
      <c r="C330" s="75"/>
      <c r="D330" s="75"/>
      <c r="E330" s="75"/>
      <c r="F330" s="75"/>
      <c r="G330" s="20"/>
      <c r="H330" s="20"/>
      <c r="I330" s="7">
        <f>G299+H299</f>
        <v>426.09</v>
      </c>
      <c r="J330" s="7">
        <f>I330</f>
        <v>426.09</v>
      </c>
    </row>
    <row r="331" spans="1:10" x14ac:dyDescent="0.25">
      <c r="A331" s="5"/>
      <c r="B331" s="76" t="s">
        <v>57</v>
      </c>
      <c r="C331" s="76"/>
      <c r="D331" s="76"/>
      <c r="E331" s="76"/>
      <c r="F331" s="76"/>
      <c r="I331" s="7">
        <v>300</v>
      </c>
      <c r="J331" s="7">
        <v>200</v>
      </c>
    </row>
    <row r="332" spans="1:10" ht="18.75" x14ac:dyDescent="0.3">
      <c r="A332" s="5"/>
      <c r="B332" s="76" t="s">
        <v>58</v>
      </c>
      <c r="C332" s="76"/>
      <c r="D332" s="76"/>
      <c r="E332" s="76"/>
      <c r="F332" s="76"/>
      <c r="I332" s="8">
        <f>I331*I330</f>
        <v>127826.99999999999</v>
      </c>
      <c r="J332" s="8">
        <f>J331*J330</f>
        <v>85218</v>
      </c>
    </row>
    <row r="333" spans="1:10" x14ac:dyDescent="0.25">
      <c r="A333" s="22"/>
      <c r="B333" s="77" t="s">
        <v>60</v>
      </c>
      <c r="C333" s="77"/>
      <c r="D333" s="77"/>
      <c r="E333" s="77"/>
      <c r="F333" s="77"/>
      <c r="G333" s="23"/>
      <c r="H333" s="23"/>
      <c r="I333" s="24"/>
      <c r="J333" s="24"/>
    </row>
    <row r="334" spans="1:10" x14ac:dyDescent="0.25">
      <c r="A334" s="25">
        <v>45109</v>
      </c>
      <c r="B334" s="71" t="s">
        <v>59</v>
      </c>
      <c r="C334" s="71"/>
      <c r="D334" s="71"/>
      <c r="E334" s="71"/>
      <c r="F334" s="71"/>
      <c r="G334" s="26"/>
      <c r="H334" s="26"/>
      <c r="I334" s="27">
        <v>10000</v>
      </c>
      <c r="J334" s="27">
        <v>10000</v>
      </c>
    </row>
    <row r="335" spans="1:10" x14ac:dyDescent="0.25">
      <c r="A335" s="25"/>
      <c r="B335" s="28"/>
      <c r="C335" s="28"/>
      <c r="D335" s="28"/>
      <c r="E335" s="28"/>
      <c r="F335" s="28"/>
      <c r="G335" s="26"/>
      <c r="H335" s="26"/>
      <c r="I335" s="29"/>
      <c r="J335" s="29"/>
    </row>
    <row r="336" spans="1:10" x14ac:dyDescent="0.25">
      <c r="A336" s="25"/>
      <c r="B336" s="28"/>
      <c r="C336" s="28"/>
      <c r="D336" s="28"/>
      <c r="E336" s="28"/>
      <c r="F336" s="28"/>
      <c r="G336" s="26"/>
      <c r="H336" s="26"/>
      <c r="I336" s="29"/>
      <c r="J336" s="29"/>
    </row>
    <row r="337" spans="1:10" ht="28.5" x14ac:dyDescent="0.45">
      <c r="A337" s="25"/>
      <c r="B337" s="72" t="s">
        <v>62</v>
      </c>
      <c r="C337" s="72"/>
      <c r="D337" s="72"/>
      <c r="E337" s="72"/>
      <c r="F337" s="72"/>
      <c r="G337" s="26"/>
      <c r="H337" s="26"/>
      <c r="I337" s="30">
        <f>SUM(I334:I336)</f>
        <v>10000</v>
      </c>
      <c r="J337" s="30">
        <f>SUM(J334:J336)</f>
        <v>10000</v>
      </c>
    </row>
    <row r="338" spans="1:10" ht="33.75" x14ac:dyDescent="0.5">
      <c r="A338" s="31">
        <v>45109</v>
      </c>
      <c r="B338" s="70" t="s">
        <v>61</v>
      </c>
      <c r="C338" s="70"/>
      <c r="D338" s="70"/>
      <c r="E338" s="70"/>
      <c r="F338" s="70"/>
      <c r="G338" s="32"/>
      <c r="H338" s="32"/>
      <c r="I338" s="33">
        <f>I332-I337</f>
        <v>117826.99999999999</v>
      </c>
      <c r="J338" s="33">
        <f>J332-J337</f>
        <v>75218</v>
      </c>
    </row>
  </sheetData>
  <mergeCells count="29">
    <mergeCell ref="G302:H302"/>
    <mergeCell ref="A311:F311"/>
    <mergeCell ref="G311:H311"/>
    <mergeCell ref="B303:F303"/>
    <mergeCell ref="B304:F304"/>
    <mergeCell ref="B310:F310"/>
    <mergeCell ref="G304:H304"/>
    <mergeCell ref="G305:H305"/>
    <mergeCell ref="G310:H310"/>
    <mergeCell ref="G307:H307"/>
    <mergeCell ref="G308:H308"/>
    <mergeCell ref="G309:H309"/>
    <mergeCell ref="G306:H306"/>
    <mergeCell ref="B306:F306"/>
    <mergeCell ref="B305:F305"/>
    <mergeCell ref="B307:F307"/>
    <mergeCell ref="B338:F338"/>
    <mergeCell ref="B334:F334"/>
    <mergeCell ref="B337:F337"/>
    <mergeCell ref="A300:F300"/>
    <mergeCell ref="A299:F299"/>
    <mergeCell ref="A301:F301"/>
    <mergeCell ref="A302:F302"/>
    <mergeCell ref="B308:F308"/>
    <mergeCell ref="B309:F309"/>
    <mergeCell ref="B330:F330"/>
    <mergeCell ref="B331:F331"/>
    <mergeCell ref="B332:F332"/>
    <mergeCell ref="B333:F333"/>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0" workbookViewId="0">
      <selection activeCell="B76" sqref="B76"/>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8">
        <v>1100</v>
      </c>
      <c r="D19" s="38"/>
    </row>
    <row r="20" spans="1:4" x14ac:dyDescent="0.25">
      <c r="A20" s="48"/>
      <c r="B20" s="57" t="s">
        <v>227</v>
      </c>
      <c r="C20" s="89"/>
      <c r="D20" s="38"/>
    </row>
    <row r="21" spans="1:4" ht="15.75" thickBot="1" x14ac:dyDescent="0.3">
      <c r="A21" s="48"/>
      <c r="B21" s="58" t="s">
        <v>228</v>
      </c>
      <c r="C21" s="90"/>
      <c r="D21" s="38"/>
    </row>
    <row r="22" spans="1:4" x14ac:dyDescent="0.25">
      <c r="A22" s="48"/>
      <c r="B22" s="56" t="s">
        <v>255</v>
      </c>
      <c r="C22" s="88">
        <v>600</v>
      </c>
      <c r="D22" s="38"/>
    </row>
    <row r="23" spans="1:4" ht="15.75" thickBot="1" x14ac:dyDescent="0.3">
      <c r="A23" s="48"/>
      <c r="B23" s="58" t="s">
        <v>256</v>
      </c>
      <c r="C23" s="90"/>
      <c r="D23" s="38"/>
    </row>
    <row r="24" spans="1:4" x14ac:dyDescent="0.25">
      <c r="A24" s="48"/>
      <c r="B24" s="56" t="s">
        <v>255</v>
      </c>
      <c r="C24" s="88">
        <v>600</v>
      </c>
      <c r="D24" s="38"/>
    </row>
    <row r="25" spans="1:4" ht="15.75" thickBot="1" x14ac:dyDescent="0.3">
      <c r="A25" s="48"/>
      <c r="B25" s="58" t="s">
        <v>256</v>
      </c>
      <c r="C25" s="90"/>
      <c r="D25" s="38"/>
    </row>
    <row r="27" spans="1:4" ht="15.75" thickBot="1" x14ac:dyDescent="0.3"/>
    <row r="28" spans="1:4" ht="30" x14ac:dyDescent="0.25">
      <c r="A28" s="48"/>
      <c r="B28" s="56" t="s">
        <v>260</v>
      </c>
      <c r="C28" s="88">
        <v>900</v>
      </c>
      <c r="D28" s="38"/>
    </row>
    <row r="29" spans="1:4" ht="45.75" thickBot="1" x14ac:dyDescent="0.3">
      <c r="A29" s="48"/>
      <c r="B29" s="58" t="s">
        <v>261</v>
      </c>
      <c r="C29" s="90"/>
      <c r="D29" s="38"/>
    </row>
    <row r="30" spans="1:4" x14ac:dyDescent="0.25">
      <c r="A30" s="48"/>
      <c r="B30" s="56" t="s">
        <v>262</v>
      </c>
      <c r="C30" s="88">
        <v>1350</v>
      </c>
      <c r="D30" s="38"/>
    </row>
    <row r="31" spans="1:4" x14ac:dyDescent="0.25">
      <c r="A31" s="48"/>
      <c r="B31" s="57" t="s">
        <v>263</v>
      </c>
      <c r="C31" s="89"/>
      <c r="D31" s="38"/>
    </row>
    <row r="32" spans="1:4" x14ac:dyDescent="0.25">
      <c r="A32" s="48"/>
      <c r="B32" s="57" t="s">
        <v>264</v>
      </c>
      <c r="C32" s="89"/>
      <c r="D32" s="38"/>
    </row>
    <row r="33" spans="1:4" x14ac:dyDescent="0.25">
      <c r="A33" s="48"/>
      <c r="B33" s="57" t="s">
        <v>265</v>
      </c>
      <c r="C33" s="89"/>
      <c r="D33" s="38"/>
    </row>
    <row r="34" spans="1:4" ht="15.75" thickBot="1" x14ac:dyDescent="0.3">
      <c r="A34" s="48"/>
      <c r="B34" s="58" t="s">
        <v>266</v>
      </c>
      <c r="C34" s="90"/>
      <c r="D34" s="38"/>
    </row>
    <row r="35" spans="1:4" x14ac:dyDescent="0.25">
      <c r="A35" s="48"/>
      <c r="B35" s="56" t="s">
        <v>267</v>
      </c>
      <c r="C35" s="88">
        <v>2700</v>
      </c>
      <c r="D35" s="38"/>
    </row>
    <row r="36" spans="1:4" ht="30" x14ac:dyDescent="0.25">
      <c r="A36" s="48"/>
      <c r="B36" s="57" t="s">
        <v>268</v>
      </c>
      <c r="C36" s="89"/>
      <c r="D36" s="38"/>
    </row>
    <row r="37" spans="1:4" x14ac:dyDescent="0.25">
      <c r="A37" s="48"/>
      <c r="B37" s="57" t="s">
        <v>269</v>
      </c>
      <c r="C37" s="89"/>
      <c r="D37" s="38"/>
    </row>
    <row r="38" spans="1:4" x14ac:dyDescent="0.25">
      <c r="A38" s="48"/>
      <c r="B38" s="57" t="s">
        <v>270</v>
      </c>
      <c r="C38" s="89"/>
      <c r="D38" s="38"/>
    </row>
    <row r="39" spans="1:4" ht="15.75" thickBot="1" x14ac:dyDescent="0.3">
      <c r="A39" s="48"/>
      <c r="B39" s="58" t="s">
        <v>271</v>
      </c>
      <c r="C39" s="90"/>
      <c r="D39" s="38"/>
    </row>
    <row r="40" spans="1:4" x14ac:dyDescent="0.25">
      <c r="A40" s="48"/>
      <c r="B40" s="57" t="s">
        <v>257</v>
      </c>
      <c r="C40" s="89">
        <v>1500</v>
      </c>
    </row>
    <row r="41" spans="1:4" ht="30.75" thickBot="1" x14ac:dyDescent="0.3">
      <c r="A41" s="48"/>
      <c r="B41" s="58" t="s">
        <v>258</v>
      </c>
      <c r="C41" s="90"/>
    </row>
    <row r="42" spans="1:4" ht="45" x14ac:dyDescent="0.25">
      <c r="A42" s="48"/>
      <c r="B42" s="56" t="s">
        <v>274</v>
      </c>
      <c r="C42" s="88">
        <v>2700</v>
      </c>
    </row>
    <row r="43" spans="1:4" ht="30" x14ac:dyDescent="0.25">
      <c r="A43" s="48"/>
      <c r="B43" s="57" t="s">
        <v>275</v>
      </c>
      <c r="C43" s="89"/>
    </row>
    <row r="44" spans="1:4" x14ac:dyDescent="0.25">
      <c r="A44" s="48"/>
      <c r="B44" s="57" t="s">
        <v>276</v>
      </c>
      <c r="C44" s="89"/>
    </row>
    <row r="45" spans="1:4" x14ac:dyDescent="0.25">
      <c r="A45" s="48"/>
      <c r="B45" s="57" t="s">
        <v>277</v>
      </c>
      <c r="C45" s="89"/>
    </row>
    <row r="46" spans="1:4" ht="30" x14ac:dyDescent="0.25">
      <c r="A46" s="48"/>
      <c r="B46" s="57" t="s">
        <v>279</v>
      </c>
      <c r="C46" s="89"/>
    </row>
    <row r="47" spans="1:4" ht="15.75" thickBot="1" x14ac:dyDescent="0.3">
      <c r="A47" s="48"/>
      <c r="B47" s="58" t="s">
        <v>280</v>
      </c>
      <c r="C47" s="90"/>
    </row>
    <row r="48" spans="1:4" x14ac:dyDescent="0.25">
      <c r="A48" s="48"/>
      <c r="B48" s="66" t="s">
        <v>281</v>
      </c>
      <c r="C48" s="86">
        <v>3000</v>
      </c>
    </row>
    <row r="49" spans="1:3" x14ac:dyDescent="0.25">
      <c r="A49" s="48"/>
      <c r="B49" s="67" t="s">
        <v>282</v>
      </c>
      <c r="C49" s="91"/>
    </row>
    <row r="50" spans="1:3" x14ac:dyDescent="0.25">
      <c r="A50" s="48"/>
      <c r="B50" s="67" t="s">
        <v>287</v>
      </c>
      <c r="C50" s="91"/>
    </row>
    <row r="51" spans="1:3" ht="30.75" thickBot="1" x14ac:dyDescent="0.3">
      <c r="A51" s="48"/>
      <c r="B51" s="68" t="s">
        <v>292</v>
      </c>
      <c r="C51" s="87"/>
    </row>
    <row r="52" spans="1:3" x14ac:dyDescent="0.25">
      <c r="A52" s="48"/>
      <c r="B52" s="66" t="s">
        <v>293</v>
      </c>
      <c r="C52" s="86">
        <v>1500</v>
      </c>
    </row>
    <row r="53" spans="1:3" x14ac:dyDescent="0.25">
      <c r="A53" s="48"/>
      <c r="B53" s="67" t="s">
        <v>294</v>
      </c>
      <c r="C53" s="91"/>
    </row>
    <row r="54" spans="1:3" ht="15.75" thickBot="1" x14ac:dyDescent="0.3">
      <c r="A54" s="48"/>
      <c r="B54" s="68" t="s">
        <v>295</v>
      </c>
      <c r="C54" s="87"/>
    </row>
    <row r="55" spans="1:3" x14ac:dyDescent="0.25">
      <c r="A55" s="48"/>
      <c r="B55" s="56" t="s">
        <v>302</v>
      </c>
      <c r="C55" s="86">
        <v>1200</v>
      </c>
    </row>
    <row r="56" spans="1:3" ht="30.75" thickBot="1" x14ac:dyDescent="0.3">
      <c r="A56" s="48"/>
      <c r="B56" s="58" t="s">
        <v>303</v>
      </c>
      <c r="C56" s="87"/>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53"/>
  <sheetViews>
    <sheetView topLeftCell="A23" workbookViewId="0">
      <selection activeCell="F31" sqref="F31"/>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8">
        <v>1100</v>
      </c>
      <c r="D2" s="38"/>
    </row>
    <row r="3" spans="1:4" x14ac:dyDescent="0.25">
      <c r="A3" s="48"/>
      <c r="B3" s="57" t="s">
        <v>227</v>
      </c>
      <c r="C3" s="89"/>
      <c r="D3" s="38"/>
    </row>
    <row r="4" spans="1:4" ht="15.75" thickBot="1" x14ac:dyDescent="0.3">
      <c r="A4" s="48"/>
      <c r="B4" s="58" t="s">
        <v>228</v>
      </c>
      <c r="C4" s="90"/>
      <c r="D4" s="38"/>
    </row>
    <row r="5" spans="1:4" x14ac:dyDescent="0.25">
      <c r="A5" s="48"/>
      <c r="B5" s="56" t="s">
        <v>255</v>
      </c>
      <c r="C5" s="88">
        <v>600</v>
      </c>
      <c r="D5" s="38"/>
    </row>
    <row r="6" spans="1:4" ht="15.75" thickBot="1" x14ac:dyDescent="0.3">
      <c r="A6" s="48"/>
      <c r="B6" s="58" t="s">
        <v>256</v>
      </c>
      <c r="C6" s="90"/>
      <c r="D6" s="38"/>
    </row>
    <row r="7" spans="1:4" ht="15.75" thickBot="1" x14ac:dyDescent="0.3">
      <c r="A7" s="48"/>
      <c r="B7" s="59" t="s">
        <v>259</v>
      </c>
      <c r="C7" s="60">
        <v>600</v>
      </c>
      <c r="D7" s="38"/>
    </row>
    <row r="8" spans="1:4" ht="30" x14ac:dyDescent="0.25">
      <c r="A8" s="48"/>
      <c r="B8" s="56" t="s">
        <v>260</v>
      </c>
      <c r="C8" s="88">
        <v>900</v>
      </c>
      <c r="D8" s="38"/>
    </row>
    <row r="9" spans="1:4" ht="45.75" thickBot="1" x14ac:dyDescent="0.3">
      <c r="A9" s="48"/>
      <c r="B9" s="58" t="s">
        <v>261</v>
      </c>
      <c r="C9" s="90"/>
      <c r="D9" s="38"/>
    </row>
    <row r="10" spans="1:4" x14ac:dyDescent="0.25">
      <c r="A10" s="48"/>
      <c r="B10" s="56" t="s">
        <v>262</v>
      </c>
      <c r="C10" s="88">
        <v>1350</v>
      </c>
      <c r="D10" s="38"/>
    </row>
    <row r="11" spans="1:4" x14ac:dyDescent="0.25">
      <c r="A11" s="48"/>
      <c r="B11" s="57" t="s">
        <v>263</v>
      </c>
      <c r="C11" s="89"/>
      <c r="D11" s="38"/>
    </row>
    <row r="12" spans="1:4" x14ac:dyDescent="0.25">
      <c r="A12" s="48"/>
      <c r="B12" s="57" t="s">
        <v>264</v>
      </c>
      <c r="C12" s="89"/>
      <c r="D12" s="38"/>
    </row>
    <row r="13" spans="1:4" x14ac:dyDescent="0.25">
      <c r="A13" s="48"/>
      <c r="B13" s="57" t="s">
        <v>265</v>
      </c>
      <c r="C13" s="89"/>
      <c r="D13" s="38"/>
    </row>
    <row r="14" spans="1:4" ht="15.75" thickBot="1" x14ac:dyDescent="0.3">
      <c r="A14" s="48"/>
      <c r="B14" s="58" t="s">
        <v>266</v>
      </c>
      <c r="C14" s="90"/>
      <c r="D14" s="38"/>
    </row>
    <row r="15" spans="1:4" x14ac:dyDescent="0.25">
      <c r="A15" s="48"/>
      <c r="B15" s="56" t="s">
        <v>267</v>
      </c>
      <c r="C15" s="88">
        <v>2700</v>
      </c>
      <c r="D15" s="38"/>
    </row>
    <row r="16" spans="1:4" ht="30" x14ac:dyDescent="0.25">
      <c r="A16" s="48"/>
      <c r="B16" s="57" t="s">
        <v>268</v>
      </c>
      <c r="C16" s="89"/>
      <c r="D16" s="38"/>
    </row>
    <row r="17" spans="1:4" x14ac:dyDescent="0.25">
      <c r="A17" s="48"/>
      <c r="B17" s="57" t="s">
        <v>269</v>
      </c>
      <c r="C17" s="89"/>
      <c r="D17" s="38"/>
    </row>
    <row r="18" spans="1:4" x14ac:dyDescent="0.25">
      <c r="A18" s="48"/>
      <c r="B18" s="57" t="s">
        <v>273</v>
      </c>
      <c r="C18" s="89"/>
      <c r="D18" s="38"/>
    </row>
    <row r="19" spans="1:4" ht="15.75" thickBot="1" x14ac:dyDescent="0.3">
      <c r="A19" s="48"/>
      <c r="B19" s="58" t="s">
        <v>271</v>
      </c>
      <c r="C19" s="90"/>
      <c r="D19" s="38"/>
    </row>
    <row r="20" spans="1:4" x14ac:dyDescent="0.25">
      <c r="A20" s="48"/>
      <c r="B20" s="57" t="s">
        <v>257</v>
      </c>
      <c r="C20" s="89">
        <v>1500</v>
      </c>
      <c r="D20" s="38"/>
    </row>
    <row r="21" spans="1:4" ht="30.75" thickBot="1" x14ac:dyDescent="0.3">
      <c r="A21" s="48"/>
      <c r="B21" s="58" t="s">
        <v>258</v>
      </c>
      <c r="C21" s="90"/>
      <c r="D21" s="38"/>
    </row>
    <row r="22" spans="1:4" ht="45" x14ac:dyDescent="0.25">
      <c r="A22" s="48"/>
      <c r="B22" s="56" t="s">
        <v>274</v>
      </c>
      <c r="C22" s="88">
        <v>2700</v>
      </c>
      <c r="D22" s="38"/>
    </row>
    <row r="23" spans="1:4" ht="30" x14ac:dyDescent="0.25">
      <c r="A23" s="48"/>
      <c r="B23" s="57" t="s">
        <v>275</v>
      </c>
      <c r="C23" s="89"/>
      <c r="D23" s="38"/>
    </row>
    <row r="24" spans="1:4" x14ac:dyDescent="0.25">
      <c r="A24" s="48"/>
      <c r="B24" s="57" t="s">
        <v>276</v>
      </c>
      <c r="C24" s="89"/>
      <c r="D24" s="38"/>
    </row>
    <row r="25" spans="1:4" x14ac:dyDescent="0.25">
      <c r="A25" s="48"/>
      <c r="B25" s="57" t="s">
        <v>277</v>
      </c>
      <c r="C25" s="89"/>
      <c r="D25" s="38"/>
    </row>
    <row r="26" spans="1:4" ht="30" x14ac:dyDescent="0.25">
      <c r="A26" s="48"/>
      <c r="B26" s="57" t="s">
        <v>279</v>
      </c>
      <c r="C26" s="89"/>
      <c r="D26" s="38"/>
    </row>
    <row r="27" spans="1:4" ht="15.75" thickBot="1" x14ac:dyDescent="0.3">
      <c r="A27" s="48"/>
      <c r="B27" s="58" t="s">
        <v>280</v>
      </c>
      <c r="C27" s="90"/>
      <c r="D27" s="38"/>
    </row>
    <row r="28" spans="1:4" x14ac:dyDescent="0.25">
      <c r="A28" s="48"/>
      <c r="B28" s="66" t="s">
        <v>281</v>
      </c>
      <c r="C28" s="86">
        <v>3000</v>
      </c>
      <c r="D28" s="38"/>
    </row>
    <row r="29" spans="1:4" x14ac:dyDescent="0.25">
      <c r="A29" s="48"/>
      <c r="B29" s="67" t="s">
        <v>282</v>
      </c>
      <c r="C29" s="91"/>
      <c r="D29" s="38"/>
    </row>
    <row r="30" spans="1:4" x14ac:dyDescent="0.25">
      <c r="A30" s="48"/>
      <c r="B30" s="67" t="s">
        <v>287</v>
      </c>
      <c r="C30" s="91"/>
      <c r="D30" s="38"/>
    </row>
    <row r="31" spans="1:4" ht="30.75" thickBot="1" x14ac:dyDescent="0.3">
      <c r="A31" s="48"/>
      <c r="B31" s="68" t="s">
        <v>292</v>
      </c>
      <c r="C31" s="87"/>
      <c r="D31" s="38"/>
    </row>
    <row r="32" spans="1:4" x14ac:dyDescent="0.25">
      <c r="A32" s="48"/>
      <c r="B32" s="66" t="s">
        <v>293</v>
      </c>
      <c r="C32" s="86">
        <v>1500</v>
      </c>
      <c r="D32" s="38"/>
    </row>
    <row r="33" spans="1:4" x14ac:dyDescent="0.25">
      <c r="A33" s="48"/>
      <c r="B33" s="67" t="s">
        <v>294</v>
      </c>
      <c r="C33" s="91"/>
      <c r="D33" s="38"/>
    </row>
    <row r="34" spans="1:4" ht="15.75" thickBot="1" x14ac:dyDescent="0.3">
      <c r="A34" s="48"/>
      <c r="B34" s="68" t="s">
        <v>295</v>
      </c>
      <c r="C34" s="87"/>
      <c r="D34" s="38"/>
    </row>
    <row r="35" spans="1:4" x14ac:dyDescent="0.25">
      <c r="A35" s="48"/>
      <c r="B35" s="56" t="s">
        <v>302</v>
      </c>
      <c r="C35" s="86">
        <v>1200</v>
      </c>
    </row>
    <row r="36" spans="1:4" ht="30.75" thickBot="1" x14ac:dyDescent="0.3">
      <c r="A36" s="48"/>
      <c r="B36" s="58" t="s">
        <v>303</v>
      </c>
      <c r="C36" s="87"/>
    </row>
    <row r="37" spans="1:4" ht="45.75" thickBot="1" x14ac:dyDescent="0.3">
      <c r="A37" s="48"/>
      <c r="B37" s="58" t="s">
        <v>304</v>
      </c>
      <c r="C37" s="69">
        <v>900</v>
      </c>
    </row>
    <row r="38" spans="1:4" s="42" customFormat="1" x14ac:dyDescent="0.25">
      <c r="A38" s="51"/>
      <c r="B38" s="52"/>
      <c r="C38" s="53"/>
    </row>
    <row r="39" spans="1:4" x14ac:dyDescent="0.25">
      <c r="A39" s="43"/>
      <c r="B39" s="43" t="s">
        <v>247</v>
      </c>
      <c r="C39" s="46">
        <f>SUM(C2:C38)</f>
        <v>18050</v>
      </c>
    </row>
    <row r="40" spans="1:4" hidden="1" x14ac:dyDescent="0.25">
      <c r="B40" t="s">
        <v>38</v>
      </c>
    </row>
    <row r="41" spans="1:4" hidden="1" x14ac:dyDescent="0.25">
      <c r="A41" s="55">
        <v>45690</v>
      </c>
      <c r="B41" s="48" t="s">
        <v>38</v>
      </c>
      <c r="C41" s="54">
        <v>2300</v>
      </c>
    </row>
    <row r="42" spans="1:4" hidden="1" x14ac:dyDescent="0.25">
      <c r="A42" s="55"/>
      <c r="B42" s="48" t="s">
        <v>38</v>
      </c>
      <c r="C42" s="54">
        <v>2250</v>
      </c>
    </row>
    <row r="43" spans="1:4" hidden="1" x14ac:dyDescent="0.25">
      <c r="A43" s="55">
        <v>45804</v>
      </c>
      <c r="B43" s="48" t="s">
        <v>278</v>
      </c>
      <c r="C43" s="54">
        <v>2700</v>
      </c>
    </row>
    <row r="44" spans="1:4" hidden="1" x14ac:dyDescent="0.25">
      <c r="A44" s="55">
        <v>45839</v>
      </c>
      <c r="B44" s="48" t="s">
        <v>278</v>
      </c>
      <c r="C44" s="54">
        <v>4200</v>
      </c>
    </row>
    <row r="45" spans="1:4" x14ac:dyDescent="0.25">
      <c r="A45" s="55"/>
      <c r="B45" s="48"/>
      <c r="C45" s="54">
        <v>4500</v>
      </c>
    </row>
    <row r="46" spans="1:4" x14ac:dyDescent="0.25">
      <c r="A46" s="48"/>
      <c r="B46" s="48"/>
      <c r="C46" s="54"/>
    </row>
    <row r="47" spans="1:4" x14ac:dyDescent="0.25">
      <c r="A47" s="43"/>
      <c r="B47" s="43" t="s">
        <v>252</v>
      </c>
      <c r="C47" s="46">
        <f>SUM(C40:C46)</f>
        <v>15950</v>
      </c>
    </row>
    <row r="48" spans="1:4" x14ac:dyDescent="0.25">
      <c r="A48" s="6"/>
      <c r="B48" s="6" t="s">
        <v>253</v>
      </c>
      <c r="C48" s="47">
        <f>C39-C47</f>
        <v>2100</v>
      </c>
    </row>
    <row r="50" spans="2:2" x14ac:dyDescent="0.25">
      <c r="B50" s="13" t="s">
        <v>281</v>
      </c>
    </row>
    <row r="51" spans="2:2" x14ac:dyDescent="0.25">
      <c r="B51" s="13" t="s">
        <v>282</v>
      </c>
    </row>
    <row r="52" spans="2:2" x14ac:dyDescent="0.25">
      <c r="B52" s="13" t="s">
        <v>287</v>
      </c>
    </row>
    <row r="53" spans="2:2" ht="30" x14ac:dyDescent="0.25">
      <c r="B53" s="13" t="s">
        <v>292</v>
      </c>
    </row>
  </sheetData>
  <mergeCells count="10">
    <mergeCell ref="C35:C36"/>
    <mergeCell ref="C32:C34"/>
    <mergeCell ref="C28:C31"/>
    <mergeCell ref="C20:C21"/>
    <mergeCell ref="C22:C27"/>
    <mergeCell ref="C2:C4"/>
    <mergeCell ref="C5:C6"/>
    <mergeCell ref="C8:C9"/>
    <mergeCell ref="C10:C14"/>
    <mergeCell ref="C15:C19"/>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ht="30"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2026-01-30T00:52:18Z</dcterms:modified>
</cp:coreProperties>
</file>