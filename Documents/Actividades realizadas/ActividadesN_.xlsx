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56362B5A-F4D8-4E97-84B8-E4861F452206}" xr6:coauthVersionLast="47" xr6:coauthVersionMax="47" xr10:uidLastSave="{00000000-0000-0000-0000-000000000000}"/>
  <bookViews>
    <workbookView xWindow="-120" yWindow="-120" windowWidth="21840" windowHeight="13020" activeTab="2"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3" i="7" l="1"/>
  <c r="C36" i="7"/>
  <c r="C80" i="5"/>
  <c r="C59" i="5"/>
  <c r="C44" i="7" l="1"/>
  <c r="C81" i="5"/>
  <c r="G304" i="1"/>
  <c r="H293" i="1"/>
  <c r="H295" i="1" s="1"/>
  <c r="G293" i="1"/>
  <c r="G295" i="1" s="1"/>
  <c r="J331" i="1"/>
  <c r="I331" i="1"/>
  <c r="G296" i="1" l="1"/>
  <c r="G305" i="1" s="1"/>
  <c r="I324" i="1"/>
  <c r="I326" i="1" s="1"/>
  <c r="I332" i="1" s="1"/>
  <c r="J324" i="1" l="1"/>
  <c r="J326" i="1" s="1"/>
  <c r="J332" i="1" s="1"/>
</calcChain>
</file>

<file path=xl/sharedStrings.xml><?xml version="1.0" encoding="utf-8"?>
<sst xmlns="http://schemas.openxmlformats.org/spreadsheetml/2006/main" count="699" uniqueCount="296">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</sst>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2">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2">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44" fontId="0" fillId="10" borderId="0" xfId="1" applyFont="1" applyFill="1" applyBorder="1" applyAlignment="1">
      <alignment horizontal="center" vertic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14" fontId="0" fillId="2" borderId="0" xfId="0" applyNumberFormat="1"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9" xfId="1" applyFont="1" applyFill="1" applyBorder="1" applyAlignment="1">
      <alignment horizontal="center" vertical="center"/>
    </xf>
    <xf numFmtId="44" fontId="0" fillId="10" borderId="10" xfId="1" applyFont="1" applyFill="1" applyBorder="1" applyAlignment="1">
      <alignment horizontal="center" vertical="center"/>
    </xf>
    <xf numFmtId="44" fontId="0" fillId="10" borderId="11"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32"/>
  <sheetViews>
    <sheetView topLeftCell="B1" workbookViewId="0">
      <pane ySplit="1" topLeftCell="A288" activePane="bottomLeft" state="frozen"/>
      <selection pane="bottomLeft" activeCell="H286" sqref="H286"/>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61">
        <v>45834</v>
      </c>
      <c r="D284" s="13" t="s">
        <v>281</v>
      </c>
      <c r="E284" s="2">
        <v>0.4513888888888889</v>
      </c>
      <c r="F284" s="2">
        <v>0.47222222222222221</v>
      </c>
      <c r="H284" s="14">
        <v>0.5</v>
      </c>
    </row>
    <row r="285" spans="1:8" x14ac:dyDescent="0.25">
      <c r="A285" s="5"/>
      <c r="C285" s="61">
        <v>45848</v>
      </c>
      <c r="D285" s="13" t="s">
        <v>282</v>
      </c>
      <c r="E285" s="2">
        <v>0.83333333333333337</v>
      </c>
      <c r="F285" s="2">
        <v>0.97222222222222221</v>
      </c>
      <c r="H285" s="14">
        <v>3</v>
      </c>
    </row>
    <row r="286" spans="1:8" x14ac:dyDescent="0.25">
      <c r="A286" s="5"/>
      <c r="C286" s="61">
        <v>45867</v>
      </c>
      <c r="D286" s="13" t="s">
        <v>287</v>
      </c>
      <c r="E286" s="2"/>
      <c r="F286" s="2"/>
      <c r="H286" s="14">
        <v>2</v>
      </c>
    </row>
    <row r="287" spans="1:8" ht="30" x14ac:dyDescent="0.25">
      <c r="A287" s="5"/>
      <c r="C287" s="61">
        <v>45871</v>
      </c>
      <c r="D287" s="13" t="s">
        <v>292</v>
      </c>
      <c r="E287" s="2">
        <v>0.63888888888888884</v>
      </c>
      <c r="F287" s="2">
        <v>0.83333333333333337</v>
      </c>
      <c r="H287" s="14">
        <v>4.5</v>
      </c>
    </row>
    <row r="288" spans="1:8" x14ac:dyDescent="0.25">
      <c r="A288" s="5"/>
      <c r="C288" s="61">
        <v>45872</v>
      </c>
      <c r="D288" s="13" t="s">
        <v>293</v>
      </c>
      <c r="E288" s="2">
        <v>0.25</v>
      </c>
      <c r="F288" s="2">
        <v>0.34027777777777779</v>
      </c>
      <c r="H288" s="14">
        <v>2</v>
      </c>
    </row>
    <row r="289" spans="1:10" x14ac:dyDescent="0.25">
      <c r="A289" s="5"/>
      <c r="C289" s="61">
        <v>45872</v>
      </c>
      <c r="D289" s="13" t="s">
        <v>294</v>
      </c>
      <c r="E289" s="2">
        <v>0.34027777777777779</v>
      </c>
      <c r="F289" s="2">
        <v>0.42708333333333331</v>
      </c>
      <c r="H289" s="14">
        <v>2</v>
      </c>
    </row>
    <row r="290" spans="1:10" x14ac:dyDescent="0.25">
      <c r="A290" s="5"/>
      <c r="C290" s="61">
        <v>45872</v>
      </c>
      <c r="D290" s="13" t="s">
        <v>295</v>
      </c>
      <c r="E290" s="2">
        <v>0.42708333333333331</v>
      </c>
      <c r="F290" s="2">
        <v>0.47222222222222221</v>
      </c>
      <c r="H290" s="14">
        <v>1</v>
      </c>
    </row>
    <row r="291" spans="1:10" x14ac:dyDescent="0.25">
      <c r="A291" s="5"/>
      <c r="C291" s="61"/>
      <c r="D291" s="13"/>
      <c r="E291" s="2"/>
      <c r="F291" s="2"/>
    </row>
    <row r="292" spans="1:10" x14ac:dyDescent="0.25">
      <c r="A292" s="5"/>
      <c r="E292" s="2"/>
      <c r="F292" s="2"/>
    </row>
    <row r="293" spans="1:10" x14ac:dyDescent="0.25">
      <c r="A293" s="79" t="s">
        <v>83</v>
      </c>
      <c r="B293" s="79"/>
      <c r="C293" s="79"/>
      <c r="D293" s="79"/>
      <c r="E293" s="79"/>
      <c r="F293" s="79"/>
      <c r="G293" s="16">
        <f>SUM(G2:G292)</f>
        <v>314.78999999999996</v>
      </c>
      <c r="H293" s="16">
        <f>SUM(H2:H292)</f>
        <v>100.3</v>
      </c>
    </row>
    <row r="294" spans="1:10" x14ac:dyDescent="0.25">
      <c r="A294" s="79" t="s">
        <v>57</v>
      </c>
      <c r="B294" s="79"/>
      <c r="C294" s="79"/>
      <c r="D294" s="79"/>
      <c r="E294" s="79"/>
      <c r="F294" s="79"/>
      <c r="G294" s="16">
        <v>200</v>
      </c>
      <c r="H294" s="16">
        <v>300</v>
      </c>
    </row>
    <row r="295" spans="1:10" x14ac:dyDescent="0.25">
      <c r="A295" s="79" t="s">
        <v>84</v>
      </c>
      <c r="B295" s="79"/>
      <c r="C295" s="79"/>
      <c r="D295" s="79"/>
      <c r="E295" s="79"/>
      <c r="F295" s="79"/>
      <c r="G295" s="17">
        <f>G294*G293</f>
        <v>62957.999999999993</v>
      </c>
      <c r="H295" s="18">
        <f>H294*H293</f>
        <v>30090</v>
      </c>
      <c r="J295">
        <v>-500</v>
      </c>
    </row>
    <row r="296" spans="1:10" ht="28.5" x14ac:dyDescent="0.45">
      <c r="A296" s="79" t="s">
        <v>58</v>
      </c>
      <c r="B296" s="79"/>
      <c r="C296" s="79"/>
      <c r="D296" s="79"/>
      <c r="E296" s="79"/>
      <c r="F296" s="79"/>
      <c r="G296" s="67">
        <f>G295+H295</f>
        <v>93048</v>
      </c>
      <c r="H296" s="67"/>
    </row>
    <row r="297" spans="1:10" x14ac:dyDescent="0.25">
      <c r="A297" s="10"/>
      <c r="B297" s="70" t="s">
        <v>60</v>
      </c>
      <c r="C297" s="70"/>
      <c r="D297" s="70"/>
      <c r="E297" s="70"/>
      <c r="F297" s="70"/>
      <c r="G297" s="21"/>
    </row>
    <row r="298" spans="1:10" x14ac:dyDescent="0.25">
      <c r="A298" s="11">
        <v>45109</v>
      </c>
      <c r="B298" s="71" t="s">
        <v>59</v>
      </c>
      <c r="C298" s="71"/>
      <c r="D298" s="71"/>
      <c r="E298" s="71"/>
      <c r="F298" s="71"/>
      <c r="G298" s="73">
        <v>10000</v>
      </c>
      <c r="H298" s="73"/>
    </row>
    <row r="299" spans="1:10" x14ac:dyDescent="0.25">
      <c r="A299" s="11"/>
      <c r="B299" s="75" t="s">
        <v>96</v>
      </c>
      <c r="C299" s="75"/>
      <c r="D299" s="75"/>
      <c r="E299" s="75"/>
      <c r="F299" s="75"/>
      <c r="G299" s="73">
        <v>5000</v>
      </c>
      <c r="H299" s="73"/>
    </row>
    <row r="300" spans="1:10" x14ac:dyDescent="0.25">
      <c r="A300" s="11">
        <v>45278</v>
      </c>
      <c r="B300" s="72" t="s">
        <v>96</v>
      </c>
      <c r="C300" s="72"/>
      <c r="D300" s="72"/>
      <c r="E300" s="72"/>
      <c r="F300" s="72"/>
      <c r="G300" s="73">
        <v>9800</v>
      </c>
      <c r="H300" s="73"/>
    </row>
    <row r="301" spans="1:10" x14ac:dyDescent="0.25">
      <c r="A301" s="11"/>
      <c r="B301" s="72"/>
      <c r="C301" s="72"/>
      <c r="D301" s="72"/>
      <c r="E301" s="72"/>
      <c r="F301" s="72"/>
      <c r="G301" s="74"/>
      <c r="H301" s="74"/>
    </row>
    <row r="302" spans="1:10" x14ac:dyDescent="0.25">
      <c r="A302" s="11"/>
      <c r="B302" s="72"/>
      <c r="C302" s="72"/>
      <c r="D302" s="72"/>
      <c r="E302" s="72"/>
      <c r="F302" s="72"/>
      <c r="G302" s="74"/>
      <c r="H302" s="74"/>
    </row>
    <row r="303" spans="1:10" x14ac:dyDescent="0.25">
      <c r="A303" s="11"/>
      <c r="B303" s="72"/>
      <c r="C303" s="72"/>
      <c r="D303" s="72"/>
      <c r="E303" s="72"/>
      <c r="F303" s="72"/>
      <c r="G303" s="74"/>
      <c r="H303" s="74"/>
    </row>
    <row r="304" spans="1:10" x14ac:dyDescent="0.25">
      <c r="A304" s="11"/>
      <c r="B304" s="72" t="s">
        <v>62</v>
      </c>
      <c r="C304" s="72"/>
      <c r="D304" s="72"/>
      <c r="E304" s="72"/>
      <c r="F304" s="72"/>
      <c r="G304" s="73">
        <f>SUM(G298:H303)</f>
        <v>24800</v>
      </c>
      <c r="H304" s="73"/>
    </row>
    <row r="305" spans="1:8" ht="31.5" x14ac:dyDescent="0.5">
      <c r="A305" s="68" t="s">
        <v>61</v>
      </c>
      <c r="B305" s="68"/>
      <c r="C305" s="68"/>
      <c r="D305" s="68"/>
      <c r="E305" s="68"/>
      <c r="F305" s="68"/>
      <c r="G305" s="69">
        <f>G296-G304</f>
        <v>68248</v>
      </c>
      <c r="H305" s="69"/>
    </row>
    <row r="306" spans="1:8" x14ac:dyDescent="0.25">
      <c r="A306" s="11"/>
      <c r="B306" s="12"/>
      <c r="C306" s="12"/>
      <c r="D306" s="12"/>
      <c r="E306" s="12"/>
      <c r="F306" s="12"/>
    </row>
    <row r="307" spans="1:8" x14ac:dyDescent="0.25">
      <c r="A307" s="11"/>
      <c r="B307" s="12"/>
      <c r="C307" s="12"/>
      <c r="D307" s="12"/>
      <c r="E307" s="12"/>
      <c r="F307" s="12"/>
    </row>
    <row r="308" spans="1:8" x14ac:dyDescent="0.25">
      <c r="A308" s="11"/>
      <c r="B308" s="12"/>
      <c r="C308" s="12"/>
      <c r="D308" s="12"/>
      <c r="E308" s="12"/>
      <c r="F308" s="12"/>
    </row>
    <row r="309" spans="1:8" x14ac:dyDescent="0.25">
      <c r="A309" s="11"/>
      <c r="B309" s="12"/>
      <c r="C309" s="12"/>
      <c r="D309" s="12"/>
      <c r="E309" s="12"/>
      <c r="F309" s="12"/>
    </row>
    <row r="310" spans="1:8" x14ac:dyDescent="0.25">
      <c r="A310" s="11"/>
      <c r="B310" s="12"/>
      <c r="C310" s="12"/>
      <c r="D310" s="12"/>
      <c r="E310" s="12"/>
      <c r="F310" s="12"/>
    </row>
    <row r="311" spans="1:8" x14ac:dyDescent="0.25">
      <c r="A311" s="11"/>
      <c r="B311" s="12"/>
      <c r="C311" s="12"/>
      <c r="D311" s="12"/>
      <c r="E311" s="12"/>
      <c r="F311" s="12"/>
    </row>
    <row r="312" spans="1:8" x14ac:dyDescent="0.25">
      <c r="A312" s="11"/>
      <c r="B312" s="12"/>
      <c r="C312" s="12"/>
      <c r="D312" s="12"/>
      <c r="E312" s="12"/>
      <c r="F312" s="12"/>
    </row>
    <row r="313" spans="1:8" x14ac:dyDescent="0.25">
      <c r="A313" s="11"/>
      <c r="B313" s="12"/>
      <c r="C313" s="12"/>
      <c r="D313" s="12"/>
      <c r="E313" s="12"/>
      <c r="F313" s="12"/>
    </row>
    <row r="314" spans="1:8" x14ac:dyDescent="0.25">
      <c r="A314" s="11"/>
      <c r="B314" s="12"/>
      <c r="C314" s="12"/>
      <c r="D314" s="12"/>
      <c r="E314" s="12"/>
      <c r="F314" s="12"/>
    </row>
    <row r="315" spans="1:8" x14ac:dyDescent="0.25">
      <c r="A315" s="11"/>
      <c r="B315" s="12"/>
      <c r="C315" s="12"/>
      <c r="D315" s="12"/>
      <c r="E315" s="12"/>
      <c r="F315" s="12"/>
    </row>
    <row r="316" spans="1:8" x14ac:dyDescent="0.25">
      <c r="A316" s="11"/>
      <c r="B316" s="12"/>
      <c r="C316" s="12"/>
      <c r="D316" s="12"/>
      <c r="E316" s="12"/>
      <c r="F316" s="12"/>
    </row>
    <row r="317" spans="1:8" x14ac:dyDescent="0.25">
      <c r="A317" s="11"/>
      <c r="B317" s="12"/>
      <c r="C317" s="12"/>
      <c r="D317" s="12"/>
      <c r="E317" s="12"/>
      <c r="F317" s="12"/>
    </row>
    <row r="318" spans="1:8" x14ac:dyDescent="0.25">
      <c r="A318" s="11"/>
      <c r="B318" s="12"/>
      <c r="C318" s="12"/>
      <c r="D318" s="12"/>
      <c r="E318" s="12"/>
      <c r="F318" s="12"/>
    </row>
    <row r="319" spans="1:8" x14ac:dyDescent="0.25">
      <c r="A319" s="11"/>
      <c r="B319" s="12"/>
      <c r="C319" s="12"/>
      <c r="D319" s="12"/>
      <c r="E319" s="12"/>
      <c r="F319" s="12"/>
    </row>
    <row r="320" spans="1:8" x14ac:dyDescent="0.25">
      <c r="A320" s="11"/>
      <c r="B320" s="12"/>
      <c r="C320" s="12"/>
      <c r="D320" s="12"/>
      <c r="E320" s="12"/>
      <c r="F320" s="12"/>
    </row>
    <row r="321" spans="1:10" x14ac:dyDescent="0.25">
      <c r="A321" s="11"/>
      <c r="B321" s="12"/>
      <c r="C321" s="12"/>
      <c r="D321" s="12"/>
      <c r="E321" s="12"/>
      <c r="F321" s="12"/>
    </row>
    <row r="322" spans="1:10" x14ac:dyDescent="0.25">
      <c r="A322" s="11"/>
      <c r="B322" s="12"/>
      <c r="C322" s="12"/>
      <c r="D322" s="12"/>
      <c r="E322" s="12"/>
      <c r="F322" s="12"/>
    </row>
    <row r="323" spans="1:10" x14ac:dyDescent="0.25">
      <c r="A323" s="11"/>
      <c r="B323" s="12"/>
      <c r="C323" s="12"/>
      <c r="D323" s="12"/>
      <c r="E323" s="12"/>
      <c r="F323" s="12"/>
    </row>
    <row r="324" spans="1:10" x14ac:dyDescent="0.25">
      <c r="A324" s="9"/>
      <c r="B324" s="80" t="s">
        <v>56</v>
      </c>
      <c r="C324" s="80"/>
      <c r="D324" s="80"/>
      <c r="E324" s="80"/>
      <c r="F324" s="80"/>
      <c r="G324" s="20"/>
      <c r="H324" s="20"/>
      <c r="I324" s="7">
        <f>G293+H293</f>
        <v>415.09</v>
      </c>
      <c r="J324" s="7">
        <f>I324</f>
        <v>415.09</v>
      </c>
    </row>
    <row r="325" spans="1:10" x14ac:dyDescent="0.25">
      <c r="A325" s="5"/>
      <c r="B325" s="81" t="s">
        <v>57</v>
      </c>
      <c r="C325" s="81"/>
      <c r="D325" s="81"/>
      <c r="E325" s="81"/>
      <c r="F325" s="81"/>
      <c r="I325" s="7">
        <v>300</v>
      </c>
      <c r="J325" s="7">
        <v>200</v>
      </c>
    </row>
    <row r="326" spans="1:10" ht="18.75" x14ac:dyDescent="0.3">
      <c r="A326" s="5"/>
      <c r="B326" s="81" t="s">
        <v>58</v>
      </c>
      <c r="C326" s="81"/>
      <c r="D326" s="81"/>
      <c r="E326" s="81"/>
      <c r="F326" s="81"/>
      <c r="I326" s="8">
        <f>I325*I324</f>
        <v>124526.99999999999</v>
      </c>
      <c r="J326" s="8">
        <f>J325*J324</f>
        <v>83018</v>
      </c>
    </row>
    <row r="327" spans="1:10" x14ac:dyDescent="0.25">
      <c r="A327" s="22"/>
      <c r="B327" s="82" t="s">
        <v>60</v>
      </c>
      <c r="C327" s="82"/>
      <c r="D327" s="82"/>
      <c r="E327" s="82"/>
      <c r="F327" s="82"/>
      <c r="G327" s="23"/>
      <c r="H327" s="23"/>
      <c r="I327" s="24"/>
      <c r="J327" s="24"/>
    </row>
    <row r="328" spans="1:10" x14ac:dyDescent="0.25">
      <c r="A328" s="25">
        <v>45109</v>
      </c>
      <c r="B328" s="77" t="s">
        <v>59</v>
      </c>
      <c r="C328" s="77"/>
      <c r="D328" s="77"/>
      <c r="E328" s="77"/>
      <c r="F328" s="77"/>
      <c r="G328" s="26"/>
      <c r="H328" s="26"/>
      <c r="I328" s="27">
        <v>10000</v>
      </c>
      <c r="J328" s="27">
        <v>10000</v>
      </c>
    </row>
    <row r="329" spans="1:10" x14ac:dyDescent="0.25">
      <c r="A329" s="25"/>
      <c r="B329" s="28"/>
      <c r="C329" s="28"/>
      <c r="D329" s="28"/>
      <c r="E329" s="28"/>
      <c r="F329" s="28"/>
      <c r="G329" s="26"/>
      <c r="H329" s="26"/>
      <c r="I329" s="29"/>
      <c r="J329" s="29"/>
    </row>
    <row r="330" spans="1:10" x14ac:dyDescent="0.25">
      <c r="A330" s="25"/>
      <c r="B330" s="28"/>
      <c r="C330" s="28"/>
      <c r="D330" s="28"/>
      <c r="E330" s="28"/>
      <c r="F330" s="28"/>
      <c r="G330" s="26"/>
      <c r="H330" s="26"/>
      <c r="I330" s="29"/>
      <c r="J330" s="29"/>
    </row>
    <row r="331" spans="1:10" ht="28.5" x14ac:dyDescent="0.45">
      <c r="A331" s="25"/>
      <c r="B331" s="78" t="s">
        <v>62</v>
      </c>
      <c r="C331" s="78"/>
      <c r="D331" s="78"/>
      <c r="E331" s="78"/>
      <c r="F331" s="78"/>
      <c r="G331" s="26"/>
      <c r="H331" s="26"/>
      <c r="I331" s="30">
        <f>SUM(I328:I330)</f>
        <v>10000</v>
      </c>
      <c r="J331" s="30">
        <f>SUM(J328:J330)</f>
        <v>10000</v>
      </c>
    </row>
    <row r="332" spans="1:10" ht="33.75" x14ac:dyDescent="0.5">
      <c r="A332" s="31">
        <v>45109</v>
      </c>
      <c r="B332" s="76" t="s">
        <v>61</v>
      </c>
      <c r="C332" s="76"/>
      <c r="D332" s="76"/>
      <c r="E332" s="76"/>
      <c r="F332" s="76"/>
      <c r="G332" s="32"/>
      <c r="H332" s="32"/>
      <c r="I332" s="33">
        <f>I326-I331</f>
        <v>114526.99999999999</v>
      </c>
      <c r="J332" s="33">
        <f>J326-J331</f>
        <v>73018</v>
      </c>
    </row>
  </sheetData>
  <mergeCells count="29">
    <mergeCell ref="B332:F332"/>
    <mergeCell ref="B328:F328"/>
    <mergeCell ref="B331:F331"/>
    <mergeCell ref="A294:F294"/>
    <mergeCell ref="A293:F293"/>
    <mergeCell ref="A295:F295"/>
    <mergeCell ref="A296:F296"/>
    <mergeCell ref="B302:F302"/>
    <mergeCell ref="B303:F303"/>
    <mergeCell ref="B324:F324"/>
    <mergeCell ref="B325:F325"/>
    <mergeCell ref="B326:F326"/>
    <mergeCell ref="B327:F327"/>
    <mergeCell ref="G296:H296"/>
    <mergeCell ref="A305:F305"/>
    <mergeCell ref="G305:H305"/>
    <mergeCell ref="B297:F297"/>
    <mergeCell ref="B298:F298"/>
    <mergeCell ref="B304:F304"/>
    <mergeCell ref="G298:H298"/>
    <mergeCell ref="G299:H299"/>
    <mergeCell ref="G304:H304"/>
    <mergeCell ref="G301:H301"/>
    <mergeCell ref="G302:H302"/>
    <mergeCell ref="G303:H303"/>
    <mergeCell ref="G300:H300"/>
    <mergeCell ref="B300:F300"/>
    <mergeCell ref="B299:F299"/>
    <mergeCell ref="B301:F301"/>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6"/>
  <sheetViews>
    <sheetView topLeftCell="A40" workbookViewId="0">
      <selection activeCell="C48" sqref="C48:C51"/>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3">
        <v>1100</v>
      </c>
      <c r="D19" s="38"/>
    </row>
    <row r="20" spans="1:4" x14ac:dyDescent="0.25">
      <c r="A20" s="48"/>
      <c r="B20" s="57" t="s">
        <v>227</v>
      </c>
      <c r="C20" s="84"/>
      <c r="D20" s="38"/>
    </row>
    <row r="21" spans="1:4" ht="15.75" thickBot="1" x14ac:dyDescent="0.3">
      <c r="A21" s="48"/>
      <c r="B21" s="58" t="s">
        <v>228</v>
      </c>
      <c r="C21" s="85"/>
      <c r="D21" s="38"/>
    </row>
    <row r="22" spans="1:4" x14ac:dyDescent="0.25">
      <c r="A22" s="48"/>
      <c r="B22" s="56" t="s">
        <v>255</v>
      </c>
      <c r="C22" s="83">
        <v>600</v>
      </c>
      <c r="D22" s="38"/>
    </row>
    <row r="23" spans="1:4" ht="15.75" thickBot="1" x14ac:dyDescent="0.3">
      <c r="A23" s="48"/>
      <c r="B23" s="58" t="s">
        <v>256</v>
      </c>
      <c r="C23" s="85"/>
      <c r="D23" s="38"/>
    </row>
    <row r="24" spans="1:4" x14ac:dyDescent="0.25">
      <c r="A24" s="48"/>
      <c r="B24" s="56" t="s">
        <v>255</v>
      </c>
      <c r="C24" s="83">
        <v>600</v>
      </c>
      <c r="D24" s="38"/>
    </row>
    <row r="25" spans="1:4" ht="15.75" thickBot="1" x14ac:dyDescent="0.3">
      <c r="A25" s="48"/>
      <c r="B25" s="58" t="s">
        <v>256</v>
      </c>
      <c r="C25" s="85"/>
      <c r="D25" s="38"/>
    </row>
    <row r="27" spans="1:4" ht="15.75" thickBot="1" x14ac:dyDescent="0.3"/>
    <row r="28" spans="1:4" ht="30" x14ac:dyDescent="0.25">
      <c r="A28" s="48"/>
      <c r="B28" s="56" t="s">
        <v>260</v>
      </c>
      <c r="C28" s="83">
        <v>900</v>
      </c>
      <c r="D28" s="38"/>
    </row>
    <row r="29" spans="1:4" ht="45.75" thickBot="1" x14ac:dyDescent="0.3">
      <c r="A29" s="48"/>
      <c r="B29" s="58" t="s">
        <v>261</v>
      </c>
      <c r="C29" s="85"/>
      <c r="D29" s="38"/>
    </row>
    <row r="30" spans="1:4" x14ac:dyDescent="0.25">
      <c r="A30" s="48"/>
      <c r="B30" s="56" t="s">
        <v>262</v>
      </c>
      <c r="C30" s="83">
        <v>1350</v>
      </c>
      <c r="D30" s="38"/>
    </row>
    <row r="31" spans="1:4" x14ac:dyDescent="0.25">
      <c r="A31" s="48"/>
      <c r="B31" s="57" t="s">
        <v>263</v>
      </c>
      <c r="C31" s="84"/>
      <c r="D31" s="38"/>
    </row>
    <row r="32" spans="1:4" x14ac:dyDescent="0.25">
      <c r="A32" s="48"/>
      <c r="B32" s="57" t="s">
        <v>264</v>
      </c>
      <c r="C32" s="84"/>
      <c r="D32" s="38"/>
    </row>
    <row r="33" spans="1:4" x14ac:dyDescent="0.25">
      <c r="A33" s="48"/>
      <c r="B33" s="57" t="s">
        <v>265</v>
      </c>
      <c r="C33" s="84"/>
      <c r="D33" s="38"/>
    </row>
    <row r="34" spans="1:4" ht="15.75" thickBot="1" x14ac:dyDescent="0.3">
      <c r="A34" s="48"/>
      <c r="B34" s="58" t="s">
        <v>266</v>
      </c>
      <c r="C34" s="85"/>
      <c r="D34" s="38"/>
    </row>
    <row r="35" spans="1:4" x14ac:dyDescent="0.25">
      <c r="A35" s="48"/>
      <c r="B35" s="56" t="s">
        <v>267</v>
      </c>
      <c r="C35" s="83">
        <v>2700</v>
      </c>
      <c r="D35" s="38"/>
    </row>
    <row r="36" spans="1:4" ht="30" x14ac:dyDescent="0.25">
      <c r="A36" s="48"/>
      <c r="B36" s="57" t="s">
        <v>268</v>
      </c>
      <c r="C36" s="84"/>
      <c r="D36" s="38"/>
    </row>
    <row r="37" spans="1:4" x14ac:dyDescent="0.25">
      <c r="A37" s="48"/>
      <c r="B37" s="57" t="s">
        <v>269</v>
      </c>
      <c r="C37" s="84"/>
      <c r="D37" s="38"/>
    </row>
    <row r="38" spans="1:4" x14ac:dyDescent="0.25">
      <c r="A38" s="48"/>
      <c r="B38" s="57" t="s">
        <v>270</v>
      </c>
      <c r="C38" s="84"/>
      <c r="D38" s="38"/>
    </row>
    <row r="39" spans="1:4" ht="15.75" thickBot="1" x14ac:dyDescent="0.3">
      <c r="A39" s="48"/>
      <c r="B39" s="58" t="s">
        <v>271</v>
      </c>
      <c r="C39" s="85"/>
      <c r="D39" s="38"/>
    </row>
    <row r="40" spans="1:4" x14ac:dyDescent="0.25">
      <c r="A40" s="48"/>
      <c r="B40" s="57" t="s">
        <v>257</v>
      </c>
      <c r="C40" s="84">
        <v>1500</v>
      </c>
    </row>
    <row r="41" spans="1:4" ht="30.75" thickBot="1" x14ac:dyDescent="0.3">
      <c r="A41" s="48"/>
      <c r="B41" s="58" t="s">
        <v>258</v>
      </c>
      <c r="C41" s="85"/>
    </row>
    <row r="42" spans="1:4" ht="45" x14ac:dyDescent="0.25">
      <c r="A42" s="48"/>
      <c r="B42" s="56" t="s">
        <v>274</v>
      </c>
      <c r="C42" s="83">
        <v>2700</v>
      </c>
    </row>
    <row r="43" spans="1:4" ht="30" x14ac:dyDescent="0.25">
      <c r="A43" s="48"/>
      <c r="B43" s="57" t="s">
        <v>275</v>
      </c>
      <c r="C43" s="84"/>
    </row>
    <row r="44" spans="1:4" x14ac:dyDescent="0.25">
      <c r="A44" s="48"/>
      <c r="B44" s="57" t="s">
        <v>276</v>
      </c>
      <c r="C44" s="84"/>
    </row>
    <row r="45" spans="1:4" x14ac:dyDescent="0.25">
      <c r="A45" s="48"/>
      <c r="B45" s="57" t="s">
        <v>277</v>
      </c>
      <c r="C45" s="84"/>
    </row>
    <row r="46" spans="1:4" ht="30" x14ac:dyDescent="0.25">
      <c r="A46" s="48"/>
      <c r="B46" s="57" t="s">
        <v>279</v>
      </c>
      <c r="C46" s="84"/>
    </row>
    <row r="47" spans="1:4" ht="15.75" thickBot="1" x14ac:dyDescent="0.3">
      <c r="A47" s="48"/>
      <c r="B47" s="58" t="s">
        <v>280</v>
      </c>
      <c r="C47" s="85"/>
    </row>
    <row r="48" spans="1:4" x14ac:dyDescent="0.25">
      <c r="A48" s="48"/>
      <c r="B48" s="86" t="s">
        <v>281</v>
      </c>
      <c r="C48" s="89">
        <v>3000</v>
      </c>
    </row>
    <row r="49" spans="1:3" x14ac:dyDescent="0.25">
      <c r="A49" s="48"/>
      <c r="B49" s="87" t="s">
        <v>282</v>
      </c>
      <c r="C49" s="90"/>
    </row>
    <row r="50" spans="1:3" x14ac:dyDescent="0.25">
      <c r="A50" s="48"/>
      <c r="B50" s="87" t="s">
        <v>287</v>
      </c>
      <c r="C50" s="90"/>
    </row>
    <row r="51" spans="1:3" ht="30.75" thickBot="1" x14ac:dyDescent="0.3">
      <c r="A51" s="48"/>
      <c r="B51" s="88" t="s">
        <v>292</v>
      </c>
      <c r="C51" s="91"/>
    </row>
    <row r="52" spans="1:3" x14ac:dyDescent="0.25">
      <c r="A52" s="48"/>
      <c r="B52" s="86" t="s">
        <v>293</v>
      </c>
      <c r="C52" s="89">
        <v>1500</v>
      </c>
    </row>
    <row r="53" spans="1:3" x14ac:dyDescent="0.25">
      <c r="A53" s="48"/>
      <c r="B53" s="87" t="s">
        <v>294</v>
      </c>
      <c r="C53" s="90"/>
    </row>
    <row r="54" spans="1:3" ht="15.75" thickBot="1" x14ac:dyDescent="0.3">
      <c r="A54" s="48"/>
      <c r="B54" s="88" t="s">
        <v>295</v>
      </c>
      <c r="C54" s="91"/>
    </row>
    <row r="55" spans="1:3" x14ac:dyDescent="0.25">
      <c r="A55" s="48"/>
      <c r="B55" s="62"/>
      <c r="C55" s="66"/>
    </row>
    <row r="56" spans="1:3" x14ac:dyDescent="0.25">
      <c r="A56" s="48"/>
      <c r="B56" s="62"/>
      <c r="C56" s="63"/>
    </row>
    <row r="57" spans="1:3" x14ac:dyDescent="0.25">
      <c r="A57" s="48"/>
      <c r="B57" s="62"/>
      <c r="C57" s="63"/>
    </row>
    <row r="58" spans="1:3" s="42" customFormat="1" x14ac:dyDescent="0.25">
      <c r="A58" s="51"/>
      <c r="B58" s="52"/>
      <c r="C58" s="53"/>
    </row>
    <row r="59" spans="1:3" x14ac:dyDescent="0.25">
      <c r="A59" s="43"/>
      <c r="B59" s="43" t="s">
        <v>247</v>
      </c>
      <c r="C59" s="46">
        <f>SUM(C2:C58)</f>
        <v>100750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c r="C78" s="54"/>
    </row>
    <row r="79" spans="1:3" x14ac:dyDescent="0.25">
      <c r="A79" s="48"/>
      <c r="B79" s="48"/>
      <c r="C79" s="54"/>
    </row>
    <row r="80" spans="1:3" x14ac:dyDescent="0.25">
      <c r="A80" s="43"/>
      <c r="B80" s="43" t="s">
        <v>252</v>
      </c>
      <c r="C80" s="46">
        <f>SUM(C60:C79)</f>
        <v>96250</v>
      </c>
    </row>
    <row r="81" spans="1:3" x14ac:dyDescent="0.25">
      <c r="A81" s="6"/>
      <c r="B81" s="6" t="s">
        <v>253</v>
      </c>
      <c r="C81" s="47">
        <f>C59-C80</f>
        <v>4500</v>
      </c>
    </row>
    <row r="86" spans="1:3" x14ac:dyDescent="0.25">
      <c r="B86" s="13"/>
    </row>
    <row r="97" spans="2:2" ht="90" x14ac:dyDescent="0.25">
      <c r="B97" s="13" t="s">
        <v>254</v>
      </c>
    </row>
    <row r="98" spans="2:2" x14ac:dyDescent="0.25">
      <c r="B98" s="13"/>
    </row>
    <row r="100" spans="2:2" x14ac:dyDescent="0.25">
      <c r="B100" s="13"/>
    </row>
    <row r="102" spans="2:2" x14ac:dyDescent="0.25">
      <c r="B102" s="13"/>
    </row>
    <row r="111" spans="2:2" x14ac:dyDescent="0.25">
      <c r="B111" t="s">
        <v>274</v>
      </c>
    </row>
    <row r="112" spans="2:2" x14ac:dyDescent="0.25">
      <c r="B112" t="s">
        <v>275</v>
      </c>
    </row>
    <row r="113" spans="2:2" x14ac:dyDescent="0.25">
      <c r="B113" t="s">
        <v>276</v>
      </c>
    </row>
    <row r="114" spans="2:2" x14ac:dyDescent="0.25">
      <c r="B114" t="s">
        <v>277</v>
      </c>
    </row>
    <row r="115" spans="2:2" x14ac:dyDescent="0.25">
      <c r="B115" t="s">
        <v>279</v>
      </c>
    </row>
    <row r="116" spans="2:2" x14ac:dyDescent="0.25">
      <c r="B116" t="s">
        <v>280</v>
      </c>
    </row>
  </sheetData>
  <mergeCells count="10">
    <mergeCell ref="C48:C51"/>
    <mergeCell ref="C52:C54"/>
    <mergeCell ref="C42:C47"/>
    <mergeCell ref="C35:C39"/>
    <mergeCell ref="C30:C34"/>
    <mergeCell ref="C19:C21"/>
    <mergeCell ref="C22:C23"/>
    <mergeCell ref="C24:C25"/>
    <mergeCell ref="C40:C41"/>
    <mergeCell ref="C28:C29"/>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49"/>
  <sheetViews>
    <sheetView tabSelected="1" topLeftCell="A23" workbookViewId="0">
      <selection activeCell="B31" sqref="B31:B34"/>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3">
        <v>1100</v>
      </c>
      <c r="D2" s="38"/>
    </row>
    <row r="3" spans="1:4" x14ac:dyDescent="0.25">
      <c r="A3" s="48"/>
      <c r="B3" s="57" t="s">
        <v>227</v>
      </c>
      <c r="C3" s="84"/>
      <c r="D3" s="38"/>
    </row>
    <row r="4" spans="1:4" ht="15.75" thickBot="1" x14ac:dyDescent="0.3">
      <c r="A4" s="48"/>
      <c r="B4" s="58" t="s">
        <v>228</v>
      </c>
      <c r="C4" s="85"/>
      <c r="D4" s="38"/>
    </row>
    <row r="5" spans="1:4" x14ac:dyDescent="0.25">
      <c r="A5" s="48"/>
      <c r="B5" s="56" t="s">
        <v>255</v>
      </c>
      <c r="C5" s="83">
        <v>600</v>
      </c>
      <c r="D5" s="38"/>
    </row>
    <row r="6" spans="1:4" ht="15.75" thickBot="1" x14ac:dyDescent="0.3">
      <c r="A6" s="48"/>
      <c r="B6" s="58" t="s">
        <v>256</v>
      </c>
      <c r="C6" s="85"/>
      <c r="D6" s="38"/>
    </row>
    <row r="7" spans="1:4" ht="15.75" thickBot="1" x14ac:dyDescent="0.3">
      <c r="A7" s="48"/>
      <c r="B7" s="59" t="s">
        <v>259</v>
      </c>
      <c r="C7" s="60">
        <v>600</v>
      </c>
      <c r="D7" s="38"/>
    </row>
    <row r="8" spans="1:4" ht="30" x14ac:dyDescent="0.25">
      <c r="A8" s="48"/>
      <c r="B8" s="56" t="s">
        <v>260</v>
      </c>
      <c r="C8" s="83">
        <v>900</v>
      </c>
      <c r="D8" s="38"/>
    </row>
    <row r="9" spans="1:4" ht="45.75" thickBot="1" x14ac:dyDescent="0.3">
      <c r="A9" s="48"/>
      <c r="B9" s="58" t="s">
        <v>261</v>
      </c>
      <c r="C9" s="85"/>
      <c r="D9" s="38"/>
    </row>
    <row r="10" spans="1:4" x14ac:dyDescent="0.25">
      <c r="A10" s="48"/>
      <c r="B10" s="56" t="s">
        <v>262</v>
      </c>
      <c r="C10" s="83">
        <v>1350</v>
      </c>
      <c r="D10" s="38"/>
    </row>
    <row r="11" spans="1:4" x14ac:dyDescent="0.25">
      <c r="A11" s="48"/>
      <c r="B11" s="57" t="s">
        <v>263</v>
      </c>
      <c r="C11" s="84"/>
      <c r="D11" s="38"/>
    </row>
    <row r="12" spans="1:4" x14ac:dyDescent="0.25">
      <c r="A12" s="48"/>
      <c r="B12" s="57" t="s">
        <v>264</v>
      </c>
      <c r="C12" s="84"/>
      <c r="D12" s="38"/>
    </row>
    <row r="13" spans="1:4" x14ac:dyDescent="0.25">
      <c r="A13" s="48"/>
      <c r="B13" s="57" t="s">
        <v>265</v>
      </c>
      <c r="C13" s="84"/>
      <c r="D13" s="38"/>
    </row>
    <row r="14" spans="1:4" ht="15.75" thickBot="1" x14ac:dyDescent="0.3">
      <c r="A14" s="48"/>
      <c r="B14" s="58" t="s">
        <v>266</v>
      </c>
      <c r="C14" s="85"/>
      <c r="D14" s="38"/>
    </row>
    <row r="15" spans="1:4" x14ac:dyDescent="0.25">
      <c r="A15" s="48"/>
      <c r="B15" s="56" t="s">
        <v>267</v>
      </c>
      <c r="C15" s="83">
        <v>2700</v>
      </c>
      <c r="D15" s="38"/>
    </row>
    <row r="16" spans="1:4" ht="30" x14ac:dyDescent="0.25">
      <c r="A16" s="48"/>
      <c r="B16" s="57" t="s">
        <v>268</v>
      </c>
      <c r="C16" s="84"/>
      <c r="D16" s="38"/>
    </row>
    <row r="17" spans="1:4" x14ac:dyDescent="0.25">
      <c r="A17" s="48"/>
      <c r="B17" s="57" t="s">
        <v>269</v>
      </c>
      <c r="C17" s="84"/>
      <c r="D17" s="38"/>
    </row>
    <row r="18" spans="1:4" x14ac:dyDescent="0.25">
      <c r="A18" s="48"/>
      <c r="B18" s="57" t="s">
        <v>273</v>
      </c>
      <c r="C18" s="84"/>
      <c r="D18" s="38"/>
    </row>
    <row r="19" spans="1:4" ht="15.75" thickBot="1" x14ac:dyDescent="0.3">
      <c r="A19" s="48"/>
      <c r="B19" s="58" t="s">
        <v>271</v>
      </c>
      <c r="C19" s="85"/>
      <c r="D19" s="38"/>
    </row>
    <row r="20" spans="1:4" x14ac:dyDescent="0.25">
      <c r="A20" s="48"/>
      <c r="B20" s="57" t="s">
        <v>257</v>
      </c>
      <c r="C20" s="84">
        <v>1500</v>
      </c>
      <c r="D20" s="38"/>
    </row>
    <row r="21" spans="1:4" ht="30.75" thickBot="1" x14ac:dyDescent="0.3">
      <c r="A21" s="48"/>
      <c r="B21" s="58" t="s">
        <v>258</v>
      </c>
      <c r="C21" s="85"/>
      <c r="D21" s="38"/>
    </row>
    <row r="22" spans="1:4" ht="45" x14ac:dyDescent="0.25">
      <c r="A22" s="48"/>
      <c r="B22" s="56" t="s">
        <v>274</v>
      </c>
      <c r="C22" s="83">
        <v>2700</v>
      </c>
      <c r="D22" s="38"/>
    </row>
    <row r="23" spans="1:4" ht="30" x14ac:dyDescent="0.25">
      <c r="A23" s="48"/>
      <c r="B23" s="57" t="s">
        <v>275</v>
      </c>
      <c r="C23" s="84"/>
      <c r="D23" s="38"/>
    </row>
    <row r="24" spans="1:4" x14ac:dyDescent="0.25">
      <c r="A24" s="48"/>
      <c r="B24" s="57" t="s">
        <v>276</v>
      </c>
      <c r="C24" s="84"/>
      <c r="D24" s="38"/>
    </row>
    <row r="25" spans="1:4" x14ac:dyDescent="0.25">
      <c r="A25" s="48"/>
      <c r="B25" s="57" t="s">
        <v>277</v>
      </c>
      <c r="C25" s="84"/>
      <c r="D25" s="38"/>
    </row>
    <row r="26" spans="1:4" ht="30" x14ac:dyDescent="0.25">
      <c r="A26" s="48"/>
      <c r="B26" s="57" t="s">
        <v>279</v>
      </c>
      <c r="C26" s="84"/>
      <c r="D26" s="38"/>
    </row>
    <row r="27" spans="1:4" ht="15.75" thickBot="1" x14ac:dyDescent="0.3">
      <c r="A27" s="48"/>
      <c r="B27" s="58" t="s">
        <v>280</v>
      </c>
      <c r="C27" s="85"/>
      <c r="D27" s="38"/>
    </row>
    <row r="28" spans="1:4" x14ac:dyDescent="0.25">
      <c r="A28" s="48"/>
      <c r="B28" s="86" t="s">
        <v>281</v>
      </c>
      <c r="C28" s="89">
        <v>3000</v>
      </c>
    </row>
    <row r="29" spans="1:4" x14ac:dyDescent="0.25">
      <c r="A29" s="48"/>
      <c r="B29" s="87" t="s">
        <v>282</v>
      </c>
      <c r="C29" s="90"/>
    </row>
    <row r="30" spans="1:4" x14ac:dyDescent="0.25">
      <c r="A30" s="48"/>
      <c r="B30" s="87" t="s">
        <v>287</v>
      </c>
      <c r="C30" s="90"/>
    </row>
    <row r="31" spans="1:4" ht="30.75" thickBot="1" x14ac:dyDescent="0.3">
      <c r="A31" s="48"/>
      <c r="B31" s="88" t="s">
        <v>292</v>
      </c>
      <c r="C31" s="91"/>
    </row>
    <row r="32" spans="1:4" x14ac:dyDescent="0.25">
      <c r="A32" s="48"/>
      <c r="B32" s="86" t="s">
        <v>293</v>
      </c>
      <c r="C32" s="89">
        <v>1500</v>
      </c>
    </row>
    <row r="33" spans="1:3" x14ac:dyDescent="0.25">
      <c r="A33" s="48"/>
      <c r="B33" s="87" t="s">
        <v>294</v>
      </c>
      <c r="C33" s="90"/>
    </row>
    <row r="34" spans="1:3" ht="15.75" thickBot="1" x14ac:dyDescent="0.3">
      <c r="A34" s="48"/>
      <c r="B34" s="88" t="s">
        <v>295</v>
      </c>
      <c r="C34" s="91"/>
    </row>
    <row r="35" spans="1:3" s="42" customFormat="1" x14ac:dyDescent="0.25">
      <c r="A35" s="51"/>
      <c r="B35" s="52"/>
      <c r="C35" s="53"/>
    </row>
    <row r="36" spans="1:3" x14ac:dyDescent="0.25">
      <c r="A36" s="43"/>
      <c r="B36" s="43" t="s">
        <v>247</v>
      </c>
      <c r="C36" s="46">
        <f>SUM(C2:C35)</f>
        <v>15950</v>
      </c>
    </row>
    <row r="37" spans="1:3" hidden="1" x14ac:dyDescent="0.25">
      <c r="B37" t="s">
        <v>38</v>
      </c>
    </row>
    <row r="38" spans="1:3" hidden="1" x14ac:dyDescent="0.25">
      <c r="A38" s="55">
        <v>45690</v>
      </c>
      <c r="B38" s="48" t="s">
        <v>38</v>
      </c>
      <c r="C38" s="54">
        <v>2300</v>
      </c>
    </row>
    <row r="39" spans="1:3" hidden="1" x14ac:dyDescent="0.25">
      <c r="A39" s="55"/>
      <c r="B39" s="48" t="s">
        <v>38</v>
      </c>
      <c r="C39" s="54">
        <v>2250</v>
      </c>
    </row>
    <row r="40" spans="1:3" hidden="1" x14ac:dyDescent="0.25">
      <c r="A40" s="55">
        <v>45804</v>
      </c>
      <c r="B40" s="48" t="s">
        <v>278</v>
      </c>
      <c r="C40" s="54">
        <v>2700</v>
      </c>
    </row>
    <row r="41" spans="1:3" hidden="1" x14ac:dyDescent="0.25">
      <c r="A41" s="55">
        <v>45839</v>
      </c>
      <c r="B41" s="48" t="s">
        <v>278</v>
      </c>
      <c r="C41" s="54">
        <v>4200</v>
      </c>
    </row>
    <row r="42" spans="1:3" x14ac:dyDescent="0.25">
      <c r="A42" s="48"/>
      <c r="B42" s="48"/>
      <c r="C42" s="54"/>
    </row>
    <row r="43" spans="1:3" x14ac:dyDescent="0.25">
      <c r="A43" s="43"/>
      <c r="B43" s="43" t="s">
        <v>252</v>
      </c>
      <c r="C43" s="46">
        <f>SUM(C37:C42)</f>
        <v>11450</v>
      </c>
    </row>
    <row r="44" spans="1:3" x14ac:dyDescent="0.25">
      <c r="A44" s="6"/>
      <c r="B44" s="6" t="s">
        <v>253</v>
      </c>
      <c r="C44" s="47">
        <f>C36-C43</f>
        <v>4500</v>
      </c>
    </row>
    <row r="46" spans="1:3" x14ac:dyDescent="0.25">
      <c r="B46" s="13" t="s">
        <v>281</v>
      </c>
    </row>
    <row r="47" spans="1:3" x14ac:dyDescent="0.25">
      <c r="B47" s="13" t="s">
        <v>282</v>
      </c>
    </row>
    <row r="48" spans="1:3" x14ac:dyDescent="0.25">
      <c r="B48" s="13" t="s">
        <v>287</v>
      </c>
    </row>
    <row r="49" spans="2:2" ht="30" x14ac:dyDescent="0.25">
      <c r="B49" s="13" t="s">
        <v>292</v>
      </c>
    </row>
  </sheetData>
  <mergeCells count="9">
    <mergeCell ref="C32:C34"/>
    <mergeCell ref="C28:C31"/>
    <mergeCell ref="C20:C21"/>
    <mergeCell ref="C22:C27"/>
    <mergeCell ref="C2:C4"/>
    <mergeCell ref="C5:C6"/>
    <mergeCell ref="C8:C9"/>
    <mergeCell ref="C10:C14"/>
    <mergeCell ref="C15:C19"/>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5"/>
  <sheetViews>
    <sheetView topLeftCell="A22" workbookViewId="0">
      <selection activeCell="E40" sqref="E40"/>
    </sheetView>
  </sheetViews>
  <sheetFormatPr baseColWidth="10" defaultRowHeight="15" x14ac:dyDescent="0.25"/>
  <cols>
    <col min="2" max="2" width="17.7109375" customWidth="1"/>
    <col min="3" max="3" width="69.570312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ht="30"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row>
    <row r="45" spans="3:6" x14ac:dyDescent="0.25">
      <c r="C45" t="s">
        <v>291</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2025-08-03T19:15:20Z</dcterms:modified>
</cp:coreProperties>
</file>